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yanni\Documents\Mines de Paris\1A\MPI\TP\"/>
    </mc:Choice>
  </mc:AlternateContent>
  <xr:revisionPtr revIDLastSave="0" documentId="13_ncr:1_{C85454E2-2D67-4309-8557-C10B0C878B99}"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Sheet2" sheetId="2" r:id="rId2"/>
    <sheet name="Appendix" sheetId="3" r:id="rId3"/>
    <sheet name="Sheet3" sheetId="5" r:id="rId4"/>
    <sheet name="Summary" sheetId="6"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5" l="1"/>
  <c r="F10" i="5"/>
  <c r="F11" i="5"/>
  <c r="F12" i="5"/>
  <c r="F13" i="5"/>
  <c r="F14" i="5"/>
  <c r="F15" i="5"/>
  <c r="F16" i="5"/>
  <c r="F17" i="5"/>
  <c r="F18" i="5"/>
  <c r="F19" i="5"/>
  <c r="F20" i="5"/>
  <c r="F21" i="5"/>
  <c r="F22" i="5"/>
  <c r="F23" i="5"/>
  <c r="F24" i="5"/>
  <c r="F25" i="5"/>
  <c r="F26" i="5"/>
  <c r="F27" i="5"/>
  <c r="F8" i="5"/>
  <c r="D9" i="5"/>
  <c r="D10" i="5"/>
  <c r="D11" i="5"/>
  <c r="D12" i="5"/>
  <c r="D13" i="5"/>
  <c r="D14" i="5"/>
  <c r="D15" i="5"/>
  <c r="D16" i="5"/>
  <c r="D17" i="5"/>
  <c r="D18" i="5"/>
  <c r="D19" i="5"/>
  <c r="D20" i="5"/>
  <c r="D21" i="5"/>
  <c r="D22" i="5"/>
  <c r="D23" i="5"/>
  <c r="D24" i="5"/>
  <c r="D25" i="5"/>
  <c r="D26" i="5"/>
  <c r="D27" i="5"/>
  <c r="D8" i="5"/>
  <c r="J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3" i="3"/>
  <c r="E9" i="3"/>
  <c r="E10" i="3"/>
  <c r="E11" i="3"/>
  <c r="E12" i="3"/>
  <c r="E23" i="3"/>
  <c r="E24" i="3"/>
  <c r="E25" i="3"/>
  <c r="E26" i="3"/>
  <c r="E40" i="3"/>
  <c r="E55" i="3"/>
  <c r="E56" i="3"/>
  <c r="E57" i="3"/>
  <c r="E58" i="3"/>
  <c r="E59" i="3"/>
  <c r="E60" i="3"/>
  <c r="E71" i="3"/>
  <c r="E72" i="3"/>
  <c r="E76" i="3"/>
  <c r="E91" i="3"/>
  <c r="E92" i="3"/>
  <c r="E103" i="3"/>
  <c r="E104" i="3"/>
  <c r="E105" i="3"/>
  <c r="E106" i="3"/>
  <c r="E107" i="3"/>
  <c r="E108" i="3"/>
  <c r="E122" i="3"/>
  <c r="E137" i="3"/>
  <c r="E138" i="3"/>
  <c r="E139" i="3"/>
  <c r="E140" i="3"/>
  <c r="E151" i="3"/>
  <c r="E152" i="3"/>
  <c r="E153" i="3"/>
  <c r="E154" i="3"/>
  <c r="E168" i="3"/>
  <c r="E183" i="3"/>
  <c r="E184" i="3"/>
  <c r="E185" i="3"/>
  <c r="E186" i="3"/>
  <c r="E187" i="3"/>
  <c r="E188" i="3"/>
  <c r="E199" i="3"/>
  <c r="E200" i="3"/>
  <c r="E204" i="3"/>
  <c r="E219" i="3"/>
  <c r="E220" i="3"/>
  <c r="E231" i="3"/>
  <c r="E232" i="3"/>
  <c r="E233" i="3"/>
  <c r="E234" i="3"/>
  <c r="E235" i="3"/>
  <c r="E236" i="3"/>
  <c r="E250" i="3"/>
  <c r="E264" i="3"/>
  <c r="E265" i="3"/>
  <c r="E266" i="3"/>
  <c r="E267" i="3"/>
  <c r="E268" i="3"/>
  <c r="E279" i="3"/>
  <c r="E280" i="3"/>
  <c r="E281" i="3"/>
  <c r="J5" i="3"/>
  <c r="E41" i="3" s="1"/>
  <c r="C13" i="1"/>
  <c r="C27" i="1"/>
  <c r="B27" i="1"/>
  <c r="C20" i="1"/>
  <c r="B20" i="1"/>
  <c r="B13" i="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3" i="3"/>
  <c r="F32" i="5" l="1"/>
  <c r="F30" i="5"/>
  <c r="F31" i="5"/>
  <c r="E263" i="3"/>
  <c r="E218" i="3"/>
  <c r="E172" i="3"/>
  <c r="E136" i="3"/>
  <c r="E90" i="3"/>
  <c r="E44" i="3"/>
  <c r="E8" i="3"/>
  <c r="E262" i="3"/>
  <c r="E217" i="3"/>
  <c r="E171" i="3"/>
  <c r="E135" i="3"/>
  <c r="E89" i="3"/>
  <c r="E43" i="3"/>
  <c r="E7" i="3"/>
  <c r="E252" i="3"/>
  <c r="E216" i="3"/>
  <c r="E170" i="3"/>
  <c r="E124" i="3"/>
  <c r="E88" i="3"/>
  <c r="E42" i="3"/>
  <c r="E251" i="3"/>
  <c r="E215" i="3"/>
  <c r="E169" i="3"/>
  <c r="E123" i="3"/>
  <c r="E87" i="3"/>
  <c r="E13" i="3"/>
  <c r="E29" i="3"/>
  <c r="E45" i="3"/>
  <c r="E61" i="3"/>
  <c r="E77" i="3"/>
  <c r="E93" i="3"/>
  <c r="E109" i="3"/>
  <c r="E125" i="3"/>
  <c r="E141" i="3"/>
  <c r="E157" i="3"/>
  <c r="E173" i="3"/>
  <c r="E189" i="3"/>
  <c r="E205" i="3"/>
  <c r="E221" i="3"/>
  <c r="E237" i="3"/>
  <c r="E253" i="3"/>
  <c r="E269" i="3"/>
  <c r="E30" i="3"/>
  <c r="E46" i="3"/>
  <c r="E62" i="3"/>
  <c r="E78" i="3"/>
  <c r="E94" i="3"/>
  <c r="E110" i="3"/>
  <c r="E126" i="3"/>
  <c r="E142" i="3"/>
  <c r="E158" i="3"/>
  <c r="E174" i="3"/>
  <c r="E190" i="3"/>
  <c r="E206" i="3"/>
  <c r="E222" i="3"/>
  <c r="E238" i="3"/>
  <c r="E254" i="3"/>
  <c r="E270" i="3"/>
  <c r="E272" i="3"/>
  <c r="E17" i="3"/>
  <c r="E65" i="3"/>
  <c r="E97" i="3"/>
  <c r="E129" i="3"/>
  <c r="E161" i="3"/>
  <c r="E193" i="3"/>
  <c r="E257" i="3"/>
  <c r="E18" i="3"/>
  <c r="E34" i="3"/>
  <c r="E50" i="3"/>
  <c r="E66" i="3"/>
  <c r="E82" i="3"/>
  <c r="E98" i="3"/>
  <c r="E114" i="3"/>
  <c r="E130" i="3"/>
  <c r="E146" i="3"/>
  <c r="E162" i="3"/>
  <c r="E178" i="3"/>
  <c r="E194" i="3"/>
  <c r="E210" i="3"/>
  <c r="E226" i="3"/>
  <c r="E242" i="3"/>
  <c r="E258" i="3"/>
  <c r="E274" i="3"/>
  <c r="E19" i="3"/>
  <c r="E51" i="3"/>
  <c r="E83" i="3"/>
  <c r="E275" i="3"/>
  <c r="E36" i="3"/>
  <c r="E100" i="3"/>
  <c r="E132" i="3"/>
  <c r="E212" i="3"/>
  <c r="E244" i="3"/>
  <c r="E276" i="3"/>
  <c r="E21" i="3"/>
  <c r="E37" i="3"/>
  <c r="E69" i="3"/>
  <c r="E101" i="3"/>
  <c r="E133" i="3"/>
  <c r="E165" i="3"/>
  <c r="E213" i="3"/>
  <c r="E245" i="3"/>
  <c r="E277" i="3"/>
  <c r="E6" i="3"/>
  <c r="E38" i="3"/>
  <c r="E70" i="3"/>
  <c r="E102" i="3"/>
  <c r="E134" i="3"/>
  <c r="E166" i="3"/>
  <c r="E198" i="3"/>
  <c r="E230" i="3"/>
  <c r="E14" i="3"/>
  <c r="E15" i="3"/>
  <c r="E31" i="3"/>
  <c r="E47" i="3"/>
  <c r="E63" i="3"/>
  <c r="E79" i="3"/>
  <c r="E95" i="3"/>
  <c r="E111" i="3"/>
  <c r="E127" i="3"/>
  <c r="E143" i="3"/>
  <c r="E159" i="3"/>
  <c r="E175" i="3"/>
  <c r="E191" i="3"/>
  <c r="E207" i="3"/>
  <c r="E223" i="3"/>
  <c r="E239" i="3"/>
  <c r="E255" i="3"/>
  <c r="E271" i="3"/>
  <c r="E16" i="3"/>
  <c r="E32" i="3"/>
  <c r="E48" i="3"/>
  <c r="E64" i="3"/>
  <c r="E80" i="3"/>
  <c r="E96" i="3"/>
  <c r="E112" i="3"/>
  <c r="E128" i="3"/>
  <c r="E144" i="3"/>
  <c r="E160" i="3"/>
  <c r="E176" i="3"/>
  <c r="E192" i="3"/>
  <c r="E208" i="3"/>
  <c r="E224" i="3"/>
  <c r="E240" i="3"/>
  <c r="E256" i="3"/>
  <c r="E33" i="3"/>
  <c r="E49" i="3"/>
  <c r="E81" i="3"/>
  <c r="E113" i="3"/>
  <c r="E145" i="3"/>
  <c r="E177" i="3"/>
  <c r="E209" i="3"/>
  <c r="E225" i="3"/>
  <c r="E241" i="3"/>
  <c r="E273" i="3"/>
  <c r="E35" i="3"/>
  <c r="E67" i="3"/>
  <c r="E99" i="3"/>
  <c r="E115" i="3"/>
  <c r="E131" i="3"/>
  <c r="E147" i="3"/>
  <c r="E163" i="3"/>
  <c r="E179" i="3"/>
  <c r="E195" i="3"/>
  <c r="E211" i="3"/>
  <c r="E227" i="3"/>
  <c r="E243" i="3"/>
  <c r="E259" i="3"/>
  <c r="E20" i="3"/>
  <c r="E52" i="3"/>
  <c r="E68" i="3"/>
  <c r="E84" i="3"/>
  <c r="E116" i="3"/>
  <c r="E148" i="3"/>
  <c r="E164" i="3"/>
  <c r="E180" i="3"/>
  <c r="E196" i="3"/>
  <c r="E228" i="3"/>
  <c r="E260" i="3"/>
  <c r="E5" i="3"/>
  <c r="E53" i="3"/>
  <c r="E85" i="3"/>
  <c r="E117" i="3"/>
  <c r="E149" i="3"/>
  <c r="E181" i="3"/>
  <c r="E197" i="3"/>
  <c r="E229" i="3"/>
  <c r="E261" i="3"/>
  <c r="E22" i="3"/>
  <c r="E54" i="3"/>
  <c r="E86" i="3"/>
  <c r="E118" i="3"/>
  <c r="E150" i="3"/>
  <c r="E182" i="3"/>
  <c r="E214" i="3"/>
  <c r="E246" i="3"/>
  <c r="E278" i="3"/>
  <c r="E249" i="3"/>
  <c r="E203" i="3"/>
  <c r="E167" i="3"/>
  <c r="E121" i="3"/>
  <c r="E75" i="3"/>
  <c r="E39" i="3"/>
  <c r="E3" i="3"/>
  <c r="E248" i="3"/>
  <c r="E202" i="3"/>
  <c r="E156" i="3"/>
  <c r="E120" i="3"/>
  <c r="E74" i="3"/>
  <c r="E28" i="3"/>
  <c r="E4" i="3"/>
  <c r="E247" i="3"/>
  <c r="E201" i="3"/>
  <c r="E155" i="3"/>
  <c r="E119" i="3"/>
  <c r="E73" i="3"/>
  <c r="E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88350-62E6-4098-AE0B-1CB2C6AAC167}" keepAlive="1" name="Query - A1" description="Connection to the 'A1' query in the workbook." type="5" refreshedVersion="0" background="1">
    <dbPr connection="Provider=Microsoft.Mashup.OleDb.1;Data Source=$Workbook$;Location=A1;Extended Properties=&quot;&quot;" command="SELECT * FROM [A1]"/>
  </connection>
</connections>
</file>

<file path=xl/sharedStrings.xml><?xml version="1.0" encoding="utf-8"?>
<sst xmlns="http://schemas.openxmlformats.org/spreadsheetml/2006/main" count="106" uniqueCount="83">
  <si>
    <t>WORKSHEET-1</t>
  </si>
  <si>
    <t>Task:</t>
  </si>
  <si>
    <t>Diameter measurements using optical microscopy</t>
  </si>
  <si>
    <t>Material:</t>
  </si>
  <si>
    <t>Nextel 610 (ceramic fibres)</t>
  </si>
  <si>
    <t>Sample no.</t>
  </si>
  <si>
    <t>Fibre-1</t>
  </si>
  <si>
    <t>Multiple images</t>
  </si>
  <si>
    <t>Single image, multiple measurements</t>
  </si>
  <si>
    <t>Avg:</t>
  </si>
  <si>
    <t>Fibre-2</t>
  </si>
  <si>
    <t>Q1:</t>
  </si>
  <si>
    <t>Is the diameter uniform along the fibre?</t>
  </si>
  <si>
    <t>Q2:</t>
  </si>
  <si>
    <t>Is it uniform accross different filaments from the same tow? Also use other students' measurements for comparison.</t>
  </si>
  <si>
    <t>Q3:</t>
  </si>
  <si>
    <t>What do you think are some problems associated with this method?</t>
  </si>
  <si>
    <t>Try using carbon fibres. What do you think?</t>
  </si>
  <si>
    <t>⭐</t>
  </si>
  <si>
    <t>WORKSHEET-2</t>
  </si>
  <si>
    <t>T700 Carbon fibres</t>
  </si>
  <si>
    <t>Point</t>
  </si>
  <si>
    <t>Force</t>
  </si>
  <si>
    <t>Position</t>
  </si>
  <si>
    <t>Diameter</t>
  </si>
  <si>
    <t>(N)</t>
  </si>
  <si>
    <t>(Microns)</t>
  </si>
  <si>
    <t>Strain</t>
  </si>
  <si>
    <t>Displacement</t>
  </si>
  <si>
    <t>T1:</t>
  </si>
  <si>
    <t>Calculate stress and strain</t>
  </si>
  <si>
    <t>T2:</t>
  </si>
  <si>
    <t>Plot stress-strain curve</t>
  </si>
  <si>
    <t>Stress</t>
  </si>
  <si>
    <t>(MPa)</t>
  </si>
  <si>
    <t>E?</t>
  </si>
  <si>
    <t>T3:</t>
  </si>
  <si>
    <t>Mark the fibre strength (failure stress)</t>
  </si>
  <si>
    <t>Q:</t>
  </si>
  <si>
    <t>Compare your fibre strength value with that of other students. What do you observe?</t>
  </si>
  <si>
    <t>WORKSHEET-3</t>
  </si>
  <si>
    <t>Fibre strength variability study</t>
  </si>
  <si>
    <t>Calculate fibre strength for below population of single filaments using the given diameter and failure load data</t>
  </si>
  <si>
    <t>Fibre Strength
(MPa)</t>
  </si>
  <si>
    <r>
      <t xml:space="preserve">What value would you report as the T700 fibre strength? Why?
</t>
    </r>
    <r>
      <rPr>
        <i/>
        <sz val="11"/>
        <color theme="1"/>
        <rFont val="Calibri"/>
        <family val="2"/>
        <scheme val="minor"/>
      </rPr>
      <t>Highest? Lowest? Average?</t>
    </r>
  </si>
  <si>
    <t>Why are some fibres weaker than others?</t>
  </si>
  <si>
    <t>*</t>
  </si>
  <si>
    <t>Value you obtained in the previous task (Sheet-2)</t>
  </si>
  <si>
    <t>(µm)</t>
  </si>
  <si>
    <t>(mm)?</t>
  </si>
  <si>
    <t>Area (sq.mm)?</t>
  </si>
  <si>
    <t>Failure Load
(N)</t>
  </si>
  <si>
    <t>CS Area
(sq.µm)</t>
  </si>
  <si>
    <t>CS Area
(sq.mm)</t>
  </si>
  <si>
    <t>Max:</t>
  </si>
  <si>
    <t>Min:</t>
  </si>
  <si>
    <r>
      <t>Diameter
(</t>
    </r>
    <r>
      <rPr>
        <b/>
        <sz val="11"/>
        <color theme="1"/>
        <rFont val="Aptos Narrow"/>
        <family val="2"/>
      </rPr>
      <t>µm</t>
    </r>
    <r>
      <rPr>
        <b/>
        <sz val="11"/>
        <color theme="1"/>
        <rFont val="Calibri"/>
        <family val="2"/>
        <scheme val="minor"/>
      </rPr>
      <t>)</t>
    </r>
  </si>
  <si>
    <t>Stress-Strain calculations using Dia-Stron test data (Appendix)</t>
  </si>
  <si>
    <t>SUMMARY</t>
  </si>
  <si>
    <t>What are composites and why are they popular?</t>
  </si>
  <si>
    <t>Why is single fibre testing important?</t>
  </si>
  <si>
    <t>Diameter measurement techniques - optical microscopy and LDS</t>
  </si>
  <si>
    <t>SFTT – Dia-Stron, sample preparation, testing procedure, post-processing</t>
  </si>
  <si>
    <t>Variability in fibre strength values – Cannot be expressed as a single value!</t>
  </si>
  <si>
    <t>-</t>
  </si>
  <si>
    <t>Fibres -&gt; Composites</t>
  </si>
  <si>
    <t>Variability in diameter measurements using optical microscopy</t>
  </si>
  <si>
    <t>High strength, light weight</t>
  </si>
  <si>
    <t>Fibre-3</t>
  </si>
  <si>
    <t>21*</t>
  </si>
  <si>
    <t>Working principle of LDS, advantages, and why this might not be accurate for some fibres</t>
  </si>
  <si>
    <t>Sample preparation; advantages of Dia-Stron cassettes compared to paper card method</t>
  </si>
  <si>
    <t>Testing procedure; advantages of automated systems like Dia-Stron</t>
  </si>
  <si>
    <t>Post-processing -
- Plotting stress-strain curves from load-displacement data
- Calculating fibre strength and modulus</t>
  </si>
  <si>
    <t>Do all the fibres have the same strength?</t>
  </si>
  <si>
    <t>Fibre strength is represented as a distribution rather than asingle value!</t>
  </si>
  <si>
    <t>Try calculating Young's modulus of the fibre. How can this be done?</t>
  </si>
  <si>
    <t>No, it is not. It is not a straight line.</t>
  </si>
  <si>
    <t>The diameter is not uniform through the same tow.</t>
  </si>
  <si>
    <t>It is operator-bias, the points are choosen by the operator, the method is not precise, and the accurancy of the measurement material is not so good.</t>
  </si>
  <si>
    <t>For the carbon fibres, as it is black, the frontier is blur and accounting for one third of the diameter inclundind this frontier.</t>
  </si>
  <si>
    <t xml:space="preserve">There are defects in the fiber during the fabrication and as the fibers are thin, the production is massive, they can't give an unique strengh. Also the diameter affects the strenght. </t>
  </si>
  <si>
    <t>Highest and lowest are not correct bc there are just very few of them. It would not be  representative. And same for average, as the incertitude is high, it is insuffisant.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</si>
</sst>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
      <name val="Calibri"/>
      <family val="2"/>
      <scheme val="minor"/>
    </font>
    <font>
      <b/>
      <sz val="11"/>
      <color theme="4" tint="-0.499984740745262"/>
      <name val="Calibri"/>
      <family val="2"/>
      <scheme val="minor"/>
    </font>
    <font>
      <b/>
      <sz val="11"/>
      <color theme="1"/>
      <name val="Aptos Narrow"/>
      <family val="2"/>
    </font>
    <font>
      <i/>
      <sz val="11"/>
      <color theme="1"/>
      <name val="Calibri"/>
      <family val="2"/>
      <scheme val="minor"/>
    </font>
    <font>
      <sz val="12"/>
      <color rgb="FF000000"/>
      <name val="Calibri"/>
      <family val="2"/>
      <scheme val="minor"/>
    </font>
    <font>
      <b/>
      <sz val="1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03DCED"/>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67">
    <xf numFmtId="0" fontId="0" fillId="0" borderId="0" xfId="0"/>
    <xf numFmtId="0" fontId="1" fillId="0" borderId="0" xfId="0" applyFont="1"/>
    <xf numFmtId="0" fontId="3" fillId="0" borderId="0" xfId="0" applyFont="1"/>
    <xf numFmtId="0" fontId="0" fillId="3" borderId="0" xfId="0" applyFill="1"/>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xf numFmtId="0" fontId="0" fillId="3" borderId="1" xfId="0" applyFill="1" applyBorder="1" applyAlignment="1">
      <alignment vertical="center"/>
    </xf>
    <xf numFmtId="0" fontId="0" fillId="0" borderId="0" xfId="0" applyAlignment="1">
      <alignment vertical="center"/>
    </xf>
    <xf numFmtId="0" fontId="0" fillId="0" borderId="0" xfId="0" applyAlignment="1">
      <alignment horizontal="left"/>
    </xf>
    <xf numFmtId="0" fontId="0" fillId="0" borderId="0" xfId="0" applyAlignment="1">
      <alignment vertical="top"/>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5" xfId="0" applyBorder="1"/>
    <xf numFmtId="0" fontId="0" fillId="0" borderId="6" xfId="0" applyBorder="1"/>
    <xf numFmtId="0" fontId="1" fillId="2" borderId="1" xfId="0" applyFont="1" applyFill="1" applyBorder="1" applyAlignment="1">
      <alignment horizontal="center" vertical="center" wrapText="1"/>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4" borderId="0" xfId="0" applyFont="1" applyFill="1"/>
    <xf numFmtId="0" fontId="1" fillId="4" borderId="1" xfId="0" applyFont="1" applyFill="1" applyBorder="1" applyAlignment="1">
      <alignment horizontal="center" vertical="center" wrapText="1"/>
    </xf>
    <xf numFmtId="0" fontId="0" fillId="4" borderId="1" xfId="0" applyFill="1" applyBorder="1"/>
    <xf numFmtId="0" fontId="0" fillId="0" borderId="0" xfId="0" applyAlignment="1">
      <alignment horizontal="right"/>
    </xf>
    <xf numFmtId="0" fontId="0" fillId="2" borderId="1" xfId="0" applyFill="1" applyBorder="1"/>
    <xf numFmtId="0" fontId="1" fillId="3" borderId="0" xfId="0" applyFont="1" applyFill="1" applyAlignment="1">
      <alignment horizontal="right"/>
    </xf>
    <xf numFmtId="11" fontId="0" fillId="0" borderId="0" xfId="0" applyNumberFormat="1"/>
    <xf numFmtId="0" fontId="1" fillId="0" borderId="0" xfId="0" applyFont="1" applyAlignment="1">
      <alignment horizontal="right"/>
    </xf>
    <xf numFmtId="0" fontId="0" fillId="0" borderId="13" xfId="0" applyBorder="1"/>
    <xf numFmtId="0" fontId="0" fillId="0" borderId="3" xfId="0" applyBorder="1"/>
    <xf numFmtId="0" fontId="0" fillId="0" borderId="4" xfId="0" applyBorder="1"/>
    <xf numFmtId="0" fontId="7" fillId="0" borderId="0" xfId="0" applyFont="1" applyAlignment="1">
      <alignment vertical="center"/>
    </xf>
    <xf numFmtId="0" fontId="0" fillId="0" borderId="10" xfId="0" applyBorder="1" applyAlignment="1">
      <alignment vertical="top"/>
    </xf>
    <xf numFmtId="0" fontId="0" fillId="0" borderId="13" xfId="0" applyBorder="1" applyAlignment="1">
      <alignment vertical="top"/>
    </xf>
    <xf numFmtId="0" fontId="0" fillId="0" borderId="15" xfId="0" applyBorder="1" applyAlignment="1">
      <alignment vertical="top"/>
    </xf>
    <xf numFmtId="0" fontId="6" fillId="0" borderId="0" xfId="0" applyFont="1"/>
    <xf numFmtId="0" fontId="6" fillId="0" borderId="0" xfId="0" applyFont="1" applyAlignment="1">
      <alignment wrapText="1"/>
    </xf>
    <xf numFmtId="0" fontId="6" fillId="0" borderId="15" xfId="0" applyFont="1" applyBorder="1"/>
    <xf numFmtId="0" fontId="6" fillId="0" borderId="5" xfId="0" applyFont="1" applyBorder="1"/>
    <xf numFmtId="0" fontId="6" fillId="0" borderId="13" xfId="0" applyFont="1" applyBorder="1" applyAlignment="1">
      <alignment wrapText="1"/>
    </xf>
    <xf numFmtId="0" fontId="6" fillId="0" borderId="2" xfId="0" applyFont="1" applyBorder="1" applyAlignment="1">
      <alignment wrapText="1"/>
    </xf>
    <xf numFmtId="0" fontId="6" fillId="0" borderId="14" xfId="0" applyFont="1" applyBorder="1" applyAlignment="1">
      <alignment wrapText="1"/>
    </xf>
    <xf numFmtId="0" fontId="0" fillId="0" borderId="0" xfId="0" applyAlignment="1">
      <alignment horizontal="left"/>
    </xf>
    <xf numFmtId="0" fontId="1" fillId="0" borderId="1" xfId="0" applyFont="1" applyBorder="1" applyAlignment="1">
      <alignment horizontal="center" vertical="center"/>
    </xf>
    <xf numFmtId="0" fontId="2" fillId="0" borderId="0" xfId="0" applyFont="1" applyAlignment="1">
      <alignment horizontal="center"/>
    </xf>
    <xf numFmtId="0" fontId="0" fillId="0" borderId="0" xfId="0" applyAlignment="1">
      <alignment horizontal="left" wrapText="1"/>
    </xf>
    <xf numFmtId="0" fontId="0" fillId="2" borderId="1" xfId="0" applyFill="1" applyBorder="1" applyAlignment="1">
      <alignment horizontal="center"/>
    </xf>
    <xf numFmtId="0" fontId="0" fillId="0" borderId="2" xfId="0" applyBorder="1" applyAlignment="1">
      <alignment horizontal="left" wrapText="1"/>
    </xf>
    <xf numFmtId="0" fontId="6" fillId="0" borderId="7" xfId="0" applyFont="1" applyBorder="1"/>
    <xf numFmtId="0" fontId="6" fillId="0" borderId="8" xfId="0" applyFont="1" applyBorder="1"/>
    <xf numFmtId="0" fontId="6" fillId="0" borderId="9" xfId="0" applyFont="1" applyBorder="1"/>
    <xf numFmtId="0" fontId="6" fillId="0" borderId="13" xfId="0" applyFont="1" applyBorder="1"/>
    <xf numFmtId="0" fontId="6" fillId="0" borderId="2" xfId="0" applyFont="1" applyBorder="1"/>
    <xf numFmtId="0" fontId="6" fillId="0" borderId="14" xfId="0" applyFont="1" applyBorder="1"/>
    <xf numFmtId="0" fontId="6" fillId="0" borderId="15" xfId="0" applyFont="1" applyBorder="1"/>
    <xf numFmtId="0" fontId="6" fillId="0" borderId="0" xfId="0" applyFont="1"/>
    <xf numFmtId="0" fontId="6" fillId="0" borderId="5" xfId="0" applyFont="1" applyBorder="1"/>
    <xf numFmtId="0" fontId="6" fillId="0" borderId="13" xfId="0" applyFont="1" applyBorder="1" applyAlignment="1">
      <alignment wrapText="1"/>
    </xf>
    <xf numFmtId="0" fontId="6" fillId="0" borderId="2" xfId="0" applyFont="1" applyBorder="1" applyAlignment="1">
      <alignment wrapText="1"/>
    </xf>
    <xf numFmtId="0" fontId="6" fillId="0" borderId="14" xfId="0" applyFont="1" applyBorder="1" applyAlignment="1">
      <alignment wrapText="1"/>
    </xf>
    <xf numFmtId="0" fontId="7" fillId="0" borderId="13" xfId="0" applyFont="1" applyBorder="1" applyAlignment="1">
      <alignment horizontal="center" vertical="center"/>
    </xf>
    <xf numFmtId="0" fontId="7" fillId="0" borderId="2" xfId="0" applyFont="1" applyBorder="1" applyAlignment="1">
      <alignment horizontal="center" vertical="center"/>
    </xf>
    <xf numFmtId="0" fontId="6" fillId="0" borderId="10" xfId="0" applyFont="1" applyBorder="1"/>
    <xf numFmtId="0" fontId="6" fillId="0" borderId="11" xfId="0" applyFont="1" applyBorder="1"/>
    <xf numFmtId="0" fontId="6" fillId="0" borderId="12" xfId="0" applyFont="1" applyBorder="1"/>
    <xf numFmtId="0" fontId="6" fillId="0" borderId="0" xfId="0" applyFont="1" applyBorder="1"/>
    <xf numFmtId="0" fontId="6" fillId="0" borderId="15" xfId="0" applyFont="1" applyBorder="1" applyAlignment="1">
      <alignment wrapText="1"/>
    </xf>
    <xf numFmtId="0" fontId="6" fillId="0" borderId="0" xfId="0" applyFont="1" applyBorder="1" applyAlignment="1">
      <alignment wrapText="1"/>
    </xf>
    <xf numFmtId="0" fontId="6" fillId="0" borderId="5" xfId="0" applyFont="1" applyBorder="1" applyAlignment="1">
      <alignment wrapText="1"/>
    </xf>
  </cellXfs>
  <cellStyles count="1">
    <cellStyle name="Normal" xfId="0" builtinId="0"/>
  </cellStyles>
  <dxfs count="0"/>
  <tableStyles count="0" defaultTableStyle="TableStyleMedium2" defaultPivotStyle="PivotStyleLight16"/>
  <colors>
    <mruColors>
      <color rgb="FF03D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Stress-Strain</c:v>
          </c:tx>
          <c:spPr>
            <a:ln w="19050" cap="rnd">
              <a:solidFill>
                <a:schemeClr val="accent1"/>
              </a:solidFill>
              <a:round/>
            </a:ln>
            <a:effectLst/>
          </c:spPr>
          <c:marker>
            <c:symbol val="none"/>
          </c:marker>
          <c:dLbls>
            <c:dLbl>
              <c:idx val="273"/>
              <c:delete val="1"/>
              <c:extLst>
                <c:ext xmlns:c15="http://schemas.microsoft.com/office/drawing/2012/chart" uri="{CE6537A1-D6FC-4f65-9D91-7224C49458BB}"/>
                <c:ext xmlns:c16="http://schemas.microsoft.com/office/drawing/2014/chart" uri="{C3380CC4-5D6E-409C-BE32-E72D297353CC}">
                  <c16:uniqueId val="{00000000-6E55-4403-B3DB-D20ECD847FAD}"/>
                </c:ext>
              </c:extLst>
            </c:dLbl>
            <c:dLbl>
              <c:idx val="27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55-4403-B3DB-D20ECD847F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Appendix!$F$3:$F$281</c:f>
              <c:numCache>
                <c:formatCode>General</c:formatCode>
                <c:ptCount val="279"/>
                <c:pt idx="0">
                  <c:v>0</c:v>
                </c:pt>
                <c:pt idx="1">
                  <c:v>9.9865182004294198E-5</c:v>
                </c:pt>
                <c:pt idx="2">
                  <c:v>1.4979777300644132E-4</c:v>
                </c:pt>
                <c:pt idx="3">
                  <c:v>2.4966295501073553E-4</c:v>
                </c:pt>
                <c:pt idx="4">
                  <c:v>2.9959554601288263E-4</c:v>
                </c:pt>
                <c:pt idx="5">
                  <c:v>3.9946072801717679E-4</c:v>
                </c:pt>
                <c:pt idx="6">
                  <c:v>4.493933190193239E-4</c:v>
                </c:pt>
                <c:pt idx="7">
                  <c:v>4.9932591002147106E-4</c:v>
                </c:pt>
                <c:pt idx="8">
                  <c:v>5.9919109202576527E-4</c:v>
                </c:pt>
                <c:pt idx="9">
                  <c:v>6.9905627403005937E-4</c:v>
                </c:pt>
                <c:pt idx="10">
                  <c:v>7.4898886503220647E-4</c:v>
                </c:pt>
                <c:pt idx="11">
                  <c:v>7.9892145603435358E-4</c:v>
                </c:pt>
                <c:pt idx="12">
                  <c:v>8.9878663803864779E-4</c:v>
                </c:pt>
                <c:pt idx="13">
                  <c:v>9.487192290407949E-4</c:v>
                </c:pt>
                <c:pt idx="14">
                  <c:v>1.0485844110450892E-3</c:v>
                </c:pt>
                <c:pt idx="15">
                  <c:v>1.0985170020472363E-3</c:v>
                </c:pt>
                <c:pt idx="16">
                  <c:v>1.1983821840515305E-3</c:v>
                </c:pt>
                <c:pt idx="17">
                  <c:v>1.2483147750536776E-3</c:v>
                </c:pt>
                <c:pt idx="18">
                  <c:v>1.3481799570579716E-3</c:v>
                </c:pt>
                <c:pt idx="19">
                  <c:v>1.3981125480601187E-3</c:v>
                </c:pt>
                <c:pt idx="20">
                  <c:v>1.4979777300644129E-3</c:v>
                </c:pt>
                <c:pt idx="21">
                  <c:v>1.5479103210665601E-3</c:v>
                </c:pt>
                <c:pt idx="22">
                  <c:v>1.6477755030708543E-3</c:v>
                </c:pt>
                <c:pt idx="23">
                  <c:v>1.6977080940730014E-3</c:v>
                </c:pt>
                <c:pt idx="24">
                  <c:v>1.7975732760772956E-3</c:v>
                </c:pt>
                <c:pt idx="25">
                  <c:v>1.8475058670794427E-3</c:v>
                </c:pt>
                <c:pt idx="26">
                  <c:v>1.9473710490837369E-3</c:v>
                </c:pt>
                <c:pt idx="27">
                  <c:v>1.9973036400858842E-3</c:v>
                </c:pt>
                <c:pt idx="28">
                  <c:v>2.0971688220901784E-3</c:v>
                </c:pt>
                <c:pt idx="29">
                  <c:v>2.1471014130923253E-3</c:v>
                </c:pt>
                <c:pt idx="30">
                  <c:v>2.2469665950966195E-3</c:v>
                </c:pt>
                <c:pt idx="31">
                  <c:v>2.2968991860987669E-3</c:v>
                </c:pt>
                <c:pt idx="32">
                  <c:v>2.3967643681030611E-3</c:v>
                </c:pt>
                <c:pt idx="33">
                  <c:v>2.446696959105208E-3</c:v>
                </c:pt>
                <c:pt idx="34">
                  <c:v>2.5465621411095022E-3</c:v>
                </c:pt>
                <c:pt idx="35">
                  <c:v>2.6464273231137964E-3</c:v>
                </c:pt>
                <c:pt idx="36">
                  <c:v>2.6963599141159433E-3</c:v>
                </c:pt>
                <c:pt idx="37">
                  <c:v>2.7962250961202375E-3</c:v>
                </c:pt>
                <c:pt idx="38">
                  <c:v>2.8461576871223848E-3</c:v>
                </c:pt>
                <c:pt idx="39">
                  <c:v>2.946022869126679E-3</c:v>
                </c:pt>
                <c:pt idx="40">
                  <c:v>2.9959554601288259E-3</c:v>
                </c:pt>
                <c:pt idx="41">
                  <c:v>3.0958206421331201E-3</c:v>
                </c:pt>
                <c:pt idx="42">
                  <c:v>3.1457532331352674E-3</c:v>
                </c:pt>
                <c:pt idx="43">
                  <c:v>3.2456184151395616E-3</c:v>
                </c:pt>
                <c:pt idx="44">
                  <c:v>3.2955510061417085E-3</c:v>
                </c:pt>
                <c:pt idx="45">
                  <c:v>3.3954161881460027E-3</c:v>
                </c:pt>
                <c:pt idx="46">
                  <c:v>3.4453487791481501E-3</c:v>
                </c:pt>
                <c:pt idx="47">
                  <c:v>3.5452139611524443E-3</c:v>
                </c:pt>
                <c:pt idx="48">
                  <c:v>3.5951465521545912E-3</c:v>
                </c:pt>
                <c:pt idx="49">
                  <c:v>3.6950117341588854E-3</c:v>
                </c:pt>
                <c:pt idx="50">
                  <c:v>3.7449443251610327E-3</c:v>
                </c:pt>
                <c:pt idx="51">
                  <c:v>3.8448095071653269E-3</c:v>
                </c:pt>
                <c:pt idx="52">
                  <c:v>3.9446746891696211E-3</c:v>
                </c:pt>
                <c:pt idx="53">
                  <c:v>3.9946072801717684E-3</c:v>
                </c:pt>
                <c:pt idx="54">
                  <c:v>4.0944724621760622E-3</c:v>
                </c:pt>
                <c:pt idx="55">
                  <c:v>4.1444050531782095E-3</c:v>
                </c:pt>
                <c:pt idx="56">
                  <c:v>4.2442702351825033E-3</c:v>
                </c:pt>
                <c:pt idx="57">
                  <c:v>4.344135417186798E-3</c:v>
                </c:pt>
                <c:pt idx="58">
                  <c:v>4.3940680081889453E-3</c:v>
                </c:pt>
                <c:pt idx="59">
                  <c:v>4.4939331901932391E-3</c:v>
                </c:pt>
                <c:pt idx="60">
                  <c:v>4.5438657811953864E-3</c:v>
                </c:pt>
                <c:pt idx="61">
                  <c:v>4.6437309631996802E-3</c:v>
                </c:pt>
                <c:pt idx="62">
                  <c:v>4.6936635542018275E-3</c:v>
                </c:pt>
                <c:pt idx="63">
                  <c:v>4.7935287362061221E-3</c:v>
                </c:pt>
                <c:pt idx="64">
                  <c:v>4.8933939182104159E-3</c:v>
                </c:pt>
                <c:pt idx="65">
                  <c:v>4.9433265092125632E-3</c:v>
                </c:pt>
                <c:pt idx="66">
                  <c:v>5.043191691216857E-3</c:v>
                </c:pt>
                <c:pt idx="67">
                  <c:v>5.0931242822190043E-3</c:v>
                </c:pt>
                <c:pt idx="68">
                  <c:v>5.192989464223299E-3</c:v>
                </c:pt>
                <c:pt idx="69">
                  <c:v>5.2429220552254454E-3</c:v>
                </c:pt>
                <c:pt idx="70">
                  <c:v>5.3427872372297401E-3</c:v>
                </c:pt>
                <c:pt idx="71">
                  <c:v>5.4426524192340339E-3</c:v>
                </c:pt>
                <c:pt idx="72">
                  <c:v>5.4925850102361812E-3</c:v>
                </c:pt>
                <c:pt idx="73">
                  <c:v>5.592450192240475E-3</c:v>
                </c:pt>
                <c:pt idx="74">
                  <c:v>5.6423827832426223E-3</c:v>
                </c:pt>
                <c:pt idx="75">
                  <c:v>5.7422479652469169E-3</c:v>
                </c:pt>
                <c:pt idx="76">
                  <c:v>5.8421131472512107E-3</c:v>
                </c:pt>
                <c:pt idx="77">
                  <c:v>5.892045738253358E-3</c:v>
                </c:pt>
                <c:pt idx="78">
                  <c:v>5.9919109202576518E-3</c:v>
                </c:pt>
                <c:pt idx="79">
                  <c:v>6.0418435112597991E-3</c:v>
                </c:pt>
                <c:pt idx="80">
                  <c:v>6.1417086932640938E-3</c:v>
                </c:pt>
                <c:pt idx="81">
                  <c:v>6.2415738752683875E-3</c:v>
                </c:pt>
                <c:pt idx="82">
                  <c:v>6.2915064662705349E-3</c:v>
                </c:pt>
                <c:pt idx="83">
                  <c:v>6.3913716482748286E-3</c:v>
                </c:pt>
                <c:pt idx="84">
                  <c:v>6.4912368302791233E-3</c:v>
                </c:pt>
                <c:pt idx="85">
                  <c:v>6.5411694212812706E-3</c:v>
                </c:pt>
                <c:pt idx="86">
                  <c:v>6.6410346032855644E-3</c:v>
                </c:pt>
                <c:pt idx="87">
                  <c:v>6.6909671942877117E-3</c:v>
                </c:pt>
                <c:pt idx="88">
                  <c:v>6.7908323762920055E-3</c:v>
                </c:pt>
                <c:pt idx="89">
                  <c:v>6.8906975582963001E-3</c:v>
                </c:pt>
                <c:pt idx="90">
                  <c:v>6.9406301492984475E-3</c:v>
                </c:pt>
                <c:pt idx="91">
                  <c:v>7.0404953313027412E-3</c:v>
                </c:pt>
                <c:pt idx="92">
                  <c:v>7.1403605133070359E-3</c:v>
                </c:pt>
                <c:pt idx="93">
                  <c:v>7.1902931043091823E-3</c:v>
                </c:pt>
                <c:pt idx="94">
                  <c:v>7.290158286313477E-3</c:v>
                </c:pt>
                <c:pt idx="95">
                  <c:v>7.3400908773156243E-3</c:v>
                </c:pt>
                <c:pt idx="96">
                  <c:v>7.4399560593199181E-3</c:v>
                </c:pt>
                <c:pt idx="97">
                  <c:v>7.5398212413242127E-3</c:v>
                </c:pt>
                <c:pt idx="98">
                  <c:v>7.5897538323263592E-3</c:v>
                </c:pt>
                <c:pt idx="99">
                  <c:v>7.6896190143306538E-3</c:v>
                </c:pt>
                <c:pt idx="100">
                  <c:v>7.7894841963349476E-3</c:v>
                </c:pt>
                <c:pt idx="101">
                  <c:v>7.8394167873370949E-3</c:v>
                </c:pt>
                <c:pt idx="102">
                  <c:v>7.9392819693413896E-3</c:v>
                </c:pt>
                <c:pt idx="103">
                  <c:v>8.0391471513456825E-3</c:v>
                </c:pt>
                <c:pt idx="104">
                  <c:v>8.0890797423478298E-3</c:v>
                </c:pt>
                <c:pt idx="105">
                  <c:v>8.1889449243521244E-3</c:v>
                </c:pt>
                <c:pt idx="106">
                  <c:v>8.2888101063564191E-3</c:v>
                </c:pt>
                <c:pt idx="107">
                  <c:v>8.3387426973585664E-3</c:v>
                </c:pt>
                <c:pt idx="108">
                  <c:v>8.4386078793628593E-3</c:v>
                </c:pt>
                <c:pt idx="109">
                  <c:v>8.538473061367154E-3</c:v>
                </c:pt>
                <c:pt idx="110">
                  <c:v>8.5884056523693013E-3</c:v>
                </c:pt>
                <c:pt idx="111">
                  <c:v>8.6882708343735959E-3</c:v>
                </c:pt>
                <c:pt idx="112">
                  <c:v>8.7881360163778906E-3</c:v>
                </c:pt>
                <c:pt idx="113">
                  <c:v>8.8380686073800362E-3</c:v>
                </c:pt>
                <c:pt idx="114">
                  <c:v>8.9379337893843308E-3</c:v>
                </c:pt>
                <c:pt idx="115">
                  <c:v>9.0377989713886255E-3</c:v>
                </c:pt>
                <c:pt idx="116">
                  <c:v>9.0877315623907728E-3</c:v>
                </c:pt>
                <c:pt idx="117">
                  <c:v>9.1875967443950674E-3</c:v>
                </c:pt>
                <c:pt idx="118">
                  <c:v>9.2874619263993603E-3</c:v>
                </c:pt>
                <c:pt idx="119">
                  <c:v>9.387327108403655E-3</c:v>
                </c:pt>
                <c:pt idx="120">
                  <c:v>9.4372596994058023E-3</c:v>
                </c:pt>
                <c:pt idx="121">
                  <c:v>9.5371248814100969E-3</c:v>
                </c:pt>
                <c:pt idx="122">
                  <c:v>9.6369900634143899E-3</c:v>
                </c:pt>
                <c:pt idx="123">
                  <c:v>9.6869226544165372E-3</c:v>
                </c:pt>
                <c:pt idx="124">
                  <c:v>9.7867878364208318E-3</c:v>
                </c:pt>
                <c:pt idx="125">
                  <c:v>9.8866530184251265E-3</c:v>
                </c:pt>
                <c:pt idx="126">
                  <c:v>9.9865182004294211E-3</c:v>
                </c:pt>
                <c:pt idx="127">
                  <c:v>1.0036450791431567E-2</c:v>
                </c:pt>
                <c:pt idx="128">
                  <c:v>1.0136315973435861E-2</c:v>
                </c:pt>
                <c:pt idx="129">
                  <c:v>1.0236181155440156E-2</c:v>
                </c:pt>
                <c:pt idx="130">
                  <c:v>1.0286113746442303E-2</c:v>
                </c:pt>
                <c:pt idx="131">
                  <c:v>1.0385978928446598E-2</c:v>
                </c:pt>
                <c:pt idx="132">
                  <c:v>1.0485844110450891E-2</c:v>
                </c:pt>
                <c:pt idx="133">
                  <c:v>1.0535776701453038E-2</c:v>
                </c:pt>
                <c:pt idx="134">
                  <c:v>1.0635641883457333E-2</c:v>
                </c:pt>
                <c:pt idx="135">
                  <c:v>1.0735507065461627E-2</c:v>
                </c:pt>
                <c:pt idx="136">
                  <c:v>1.083537224746592E-2</c:v>
                </c:pt>
                <c:pt idx="137">
                  <c:v>1.0885304838468068E-2</c:v>
                </c:pt>
                <c:pt idx="138">
                  <c:v>1.0985170020472362E-2</c:v>
                </c:pt>
                <c:pt idx="139">
                  <c:v>1.1085035202476657E-2</c:v>
                </c:pt>
                <c:pt idx="140">
                  <c:v>1.118490038448095E-2</c:v>
                </c:pt>
                <c:pt idx="141">
                  <c:v>1.1234832975483097E-2</c:v>
                </c:pt>
                <c:pt idx="142">
                  <c:v>1.1334698157487392E-2</c:v>
                </c:pt>
                <c:pt idx="143">
                  <c:v>1.1434563339491687E-2</c:v>
                </c:pt>
                <c:pt idx="144">
                  <c:v>1.1534428521495981E-2</c:v>
                </c:pt>
                <c:pt idx="145">
                  <c:v>1.1584361112498127E-2</c:v>
                </c:pt>
                <c:pt idx="146">
                  <c:v>1.1684226294502421E-2</c:v>
                </c:pt>
                <c:pt idx="147">
                  <c:v>1.1784091476506716E-2</c:v>
                </c:pt>
                <c:pt idx="148">
                  <c:v>1.1834024067508863E-2</c:v>
                </c:pt>
                <c:pt idx="149">
                  <c:v>1.1933889249513158E-2</c:v>
                </c:pt>
                <c:pt idx="150">
                  <c:v>1.2033754431517451E-2</c:v>
                </c:pt>
                <c:pt idx="151">
                  <c:v>1.2133619613521746E-2</c:v>
                </c:pt>
                <c:pt idx="152">
                  <c:v>1.2183552204523893E-2</c:v>
                </c:pt>
                <c:pt idx="153">
                  <c:v>1.2283417386528188E-2</c:v>
                </c:pt>
                <c:pt idx="154">
                  <c:v>1.238328256853248E-2</c:v>
                </c:pt>
                <c:pt idx="155">
                  <c:v>1.2483147750536775E-2</c:v>
                </c:pt>
                <c:pt idx="156">
                  <c:v>1.258301293254107E-2</c:v>
                </c:pt>
                <c:pt idx="157">
                  <c:v>1.2632945523543217E-2</c:v>
                </c:pt>
                <c:pt idx="158">
                  <c:v>1.2732810705547512E-2</c:v>
                </c:pt>
                <c:pt idx="159">
                  <c:v>1.2832675887551805E-2</c:v>
                </c:pt>
                <c:pt idx="160">
                  <c:v>1.2932541069556099E-2</c:v>
                </c:pt>
                <c:pt idx="161">
                  <c:v>1.2982473660558247E-2</c:v>
                </c:pt>
                <c:pt idx="162">
                  <c:v>1.3082338842562541E-2</c:v>
                </c:pt>
                <c:pt idx="163">
                  <c:v>1.3182204024566834E-2</c:v>
                </c:pt>
                <c:pt idx="164">
                  <c:v>1.3282069206571129E-2</c:v>
                </c:pt>
                <c:pt idx="165">
                  <c:v>1.3381934388575423E-2</c:v>
                </c:pt>
                <c:pt idx="166">
                  <c:v>1.3431866979577571E-2</c:v>
                </c:pt>
                <c:pt idx="167">
                  <c:v>1.3531732161581864E-2</c:v>
                </c:pt>
                <c:pt idx="168">
                  <c:v>1.3631597343586158E-2</c:v>
                </c:pt>
                <c:pt idx="169">
                  <c:v>1.3731462525590453E-2</c:v>
                </c:pt>
                <c:pt idx="170">
                  <c:v>1.37813951165926E-2</c:v>
                </c:pt>
                <c:pt idx="171">
                  <c:v>1.3881260298596895E-2</c:v>
                </c:pt>
                <c:pt idx="172">
                  <c:v>1.3981125480601188E-2</c:v>
                </c:pt>
                <c:pt idx="173">
                  <c:v>1.4080990662605482E-2</c:v>
                </c:pt>
                <c:pt idx="174">
                  <c:v>1.4180855844609777E-2</c:v>
                </c:pt>
                <c:pt idx="175">
                  <c:v>1.4230788435611924E-2</c:v>
                </c:pt>
                <c:pt idx="176">
                  <c:v>1.4330653617616217E-2</c:v>
                </c:pt>
                <c:pt idx="177">
                  <c:v>1.4430518799620512E-2</c:v>
                </c:pt>
                <c:pt idx="178">
                  <c:v>1.4530383981624807E-2</c:v>
                </c:pt>
                <c:pt idx="179">
                  <c:v>1.4630249163629101E-2</c:v>
                </c:pt>
                <c:pt idx="180">
                  <c:v>1.4730114345633394E-2</c:v>
                </c:pt>
                <c:pt idx="181">
                  <c:v>1.4780046936635542E-2</c:v>
                </c:pt>
                <c:pt idx="182">
                  <c:v>1.4879912118639836E-2</c:v>
                </c:pt>
                <c:pt idx="183">
                  <c:v>1.4979777300644131E-2</c:v>
                </c:pt>
                <c:pt idx="184">
                  <c:v>1.5079642482648425E-2</c:v>
                </c:pt>
                <c:pt idx="185">
                  <c:v>1.5179507664652718E-2</c:v>
                </c:pt>
                <c:pt idx="186">
                  <c:v>1.5229440255654866E-2</c:v>
                </c:pt>
                <c:pt idx="187">
                  <c:v>1.532930543765916E-2</c:v>
                </c:pt>
                <c:pt idx="188">
                  <c:v>1.5429170619663455E-2</c:v>
                </c:pt>
                <c:pt idx="189">
                  <c:v>1.5529035801667748E-2</c:v>
                </c:pt>
                <c:pt idx="190">
                  <c:v>1.5628900983672044E-2</c:v>
                </c:pt>
                <c:pt idx="191">
                  <c:v>1.5728766165676335E-2</c:v>
                </c:pt>
                <c:pt idx="192">
                  <c:v>1.5778698756678484E-2</c:v>
                </c:pt>
                <c:pt idx="193">
                  <c:v>1.5878563938682779E-2</c:v>
                </c:pt>
                <c:pt idx="194">
                  <c:v>1.5978429120687074E-2</c:v>
                </c:pt>
                <c:pt idx="195">
                  <c:v>1.6078294302691365E-2</c:v>
                </c:pt>
                <c:pt idx="196">
                  <c:v>1.617815948469566E-2</c:v>
                </c:pt>
                <c:pt idx="197">
                  <c:v>1.6278024666699954E-2</c:v>
                </c:pt>
                <c:pt idx="198">
                  <c:v>1.6377889848704249E-2</c:v>
                </c:pt>
                <c:pt idx="199">
                  <c:v>1.6427822439706398E-2</c:v>
                </c:pt>
                <c:pt idx="200">
                  <c:v>1.6527687621710689E-2</c:v>
                </c:pt>
                <c:pt idx="201">
                  <c:v>1.6627552803714984E-2</c:v>
                </c:pt>
                <c:pt idx="202">
                  <c:v>1.6727417985719278E-2</c:v>
                </c:pt>
                <c:pt idx="203">
                  <c:v>1.6827283167723573E-2</c:v>
                </c:pt>
                <c:pt idx="204">
                  <c:v>1.6927148349727868E-2</c:v>
                </c:pt>
                <c:pt idx="205">
                  <c:v>1.7027013531732162E-2</c:v>
                </c:pt>
                <c:pt idx="206">
                  <c:v>1.7076946122734308E-2</c:v>
                </c:pt>
                <c:pt idx="207">
                  <c:v>1.7176811304738603E-2</c:v>
                </c:pt>
                <c:pt idx="208">
                  <c:v>1.7276676486742897E-2</c:v>
                </c:pt>
                <c:pt idx="209">
                  <c:v>1.7376541668747192E-2</c:v>
                </c:pt>
                <c:pt idx="210">
                  <c:v>1.7476406850751487E-2</c:v>
                </c:pt>
                <c:pt idx="211">
                  <c:v>1.7576272032755781E-2</c:v>
                </c:pt>
                <c:pt idx="212">
                  <c:v>1.7676137214760072E-2</c:v>
                </c:pt>
                <c:pt idx="213">
                  <c:v>1.7776002396764367E-2</c:v>
                </c:pt>
                <c:pt idx="214">
                  <c:v>1.7825934987766516E-2</c:v>
                </c:pt>
                <c:pt idx="215">
                  <c:v>1.7925800169770811E-2</c:v>
                </c:pt>
                <c:pt idx="216">
                  <c:v>1.8025665351775105E-2</c:v>
                </c:pt>
                <c:pt idx="217">
                  <c:v>1.8125530533779396E-2</c:v>
                </c:pt>
                <c:pt idx="218">
                  <c:v>1.8225395715783691E-2</c:v>
                </c:pt>
                <c:pt idx="219">
                  <c:v>1.8325260897787986E-2</c:v>
                </c:pt>
                <c:pt idx="220">
                  <c:v>1.842512607979228E-2</c:v>
                </c:pt>
                <c:pt idx="221">
                  <c:v>1.8524991261796575E-2</c:v>
                </c:pt>
                <c:pt idx="222">
                  <c:v>1.862485644380087E-2</c:v>
                </c:pt>
                <c:pt idx="223">
                  <c:v>1.8724721625805164E-2</c:v>
                </c:pt>
                <c:pt idx="224">
                  <c:v>1.877465421680731E-2</c:v>
                </c:pt>
                <c:pt idx="225">
                  <c:v>1.8874519398811605E-2</c:v>
                </c:pt>
                <c:pt idx="226">
                  <c:v>1.8974384580815899E-2</c:v>
                </c:pt>
                <c:pt idx="227">
                  <c:v>1.9074249762820194E-2</c:v>
                </c:pt>
                <c:pt idx="228">
                  <c:v>1.9174114944824489E-2</c:v>
                </c:pt>
                <c:pt idx="229">
                  <c:v>1.927398012682878E-2</c:v>
                </c:pt>
                <c:pt idx="230">
                  <c:v>1.9373845308833074E-2</c:v>
                </c:pt>
                <c:pt idx="231">
                  <c:v>1.9473710490837369E-2</c:v>
                </c:pt>
                <c:pt idx="232">
                  <c:v>1.9573575672841664E-2</c:v>
                </c:pt>
                <c:pt idx="233">
                  <c:v>1.9673440854845958E-2</c:v>
                </c:pt>
                <c:pt idx="234">
                  <c:v>1.9773306036850253E-2</c:v>
                </c:pt>
                <c:pt idx="235">
                  <c:v>1.9823238627852399E-2</c:v>
                </c:pt>
                <c:pt idx="236">
                  <c:v>1.9923103809856693E-2</c:v>
                </c:pt>
                <c:pt idx="237">
                  <c:v>2.0022968991860988E-2</c:v>
                </c:pt>
                <c:pt idx="238">
                  <c:v>2.0122834173865282E-2</c:v>
                </c:pt>
                <c:pt idx="239">
                  <c:v>2.0222699355869577E-2</c:v>
                </c:pt>
                <c:pt idx="240">
                  <c:v>2.0322564537873872E-2</c:v>
                </c:pt>
                <c:pt idx="241">
                  <c:v>2.0422429719878163E-2</c:v>
                </c:pt>
                <c:pt idx="242">
                  <c:v>2.0522294901882458E-2</c:v>
                </c:pt>
                <c:pt idx="243">
                  <c:v>2.0622160083886752E-2</c:v>
                </c:pt>
                <c:pt idx="244">
                  <c:v>2.0722025265891047E-2</c:v>
                </c:pt>
                <c:pt idx="245">
                  <c:v>2.0821890447895341E-2</c:v>
                </c:pt>
                <c:pt idx="246">
                  <c:v>2.0921755629899636E-2</c:v>
                </c:pt>
                <c:pt idx="247">
                  <c:v>2.1021620811903931E-2</c:v>
                </c:pt>
                <c:pt idx="248">
                  <c:v>2.1121485993908225E-2</c:v>
                </c:pt>
                <c:pt idx="249">
                  <c:v>2.1221351175912517E-2</c:v>
                </c:pt>
                <c:pt idx="250">
                  <c:v>2.1271283766914666E-2</c:v>
                </c:pt>
                <c:pt idx="251">
                  <c:v>2.137114894891896E-2</c:v>
                </c:pt>
                <c:pt idx="252">
                  <c:v>2.1471014130923255E-2</c:v>
                </c:pt>
                <c:pt idx="253">
                  <c:v>2.1570879312927546E-2</c:v>
                </c:pt>
                <c:pt idx="254">
                  <c:v>2.1670744494931841E-2</c:v>
                </c:pt>
                <c:pt idx="255">
                  <c:v>2.1770609676936135E-2</c:v>
                </c:pt>
                <c:pt idx="256">
                  <c:v>2.187047485894043E-2</c:v>
                </c:pt>
                <c:pt idx="257">
                  <c:v>2.1970340040944725E-2</c:v>
                </c:pt>
                <c:pt idx="258">
                  <c:v>2.2070205222949019E-2</c:v>
                </c:pt>
                <c:pt idx="259">
                  <c:v>2.2170070404953314E-2</c:v>
                </c:pt>
                <c:pt idx="260">
                  <c:v>2.2269935586957609E-2</c:v>
                </c:pt>
                <c:pt idx="261">
                  <c:v>2.23698007689619E-2</c:v>
                </c:pt>
                <c:pt idx="262">
                  <c:v>2.2469665950966194E-2</c:v>
                </c:pt>
                <c:pt idx="263">
                  <c:v>2.2569531132970489E-2</c:v>
                </c:pt>
                <c:pt idx="264">
                  <c:v>2.2669396314974784E-2</c:v>
                </c:pt>
                <c:pt idx="265">
                  <c:v>2.2769261496979078E-2</c:v>
                </c:pt>
                <c:pt idx="266">
                  <c:v>2.2869126678983373E-2</c:v>
                </c:pt>
                <c:pt idx="267">
                  <c:v>2.2968991860987668E-2</c:v>
                </c:pt>
                <c:pt idx="268">
                  <c:v>2.3068857042991962E-2</c:v>
                </c:pt>
                <c:pt idx="269">
                  <c:v>2.3168722224996254E-2</c:v>
                </c:pt>
                <c:pt idx="270">
                  <c:v>2.3268587407000548E-2</c:v>
                </c:pt>
                <c:pt idx="271">
                  <c:v>2.3168722224996254E-2</c:v>
                </c:pt>
                <c:pt idx="272">
                  <c:v>2.3618115544015578E-2</c:v>
                </c:pt>
                <c:pt idx="273">
                  <c:v>2.3668048135017727E-2</c:v>
                </c:pt>
                <c:pt idx="274">
                  <c:v>2.3618115544015578E-2</c:v>
                </c:pt>
                <c:pt idx="275">
                  <c:v>2.3717980726019872E-2</c:v>
                </c:pt>
                <c:pt idx="276">
                  <c:v>2.3917711090028462E-2</c:v>
                </c:pt>
                <c:pt idx="277">
                  <c:v>2.3967643681030607E-2</c:v>
                </c:pt>
                <c:pt idx="278">
                  <c:v>2.4017576272032756E-2</c:v>
                </c:pt>
              </c:numCache>
            </c:numRef>
          </c:xVal>
          <c:yVal>
            <c:numRef>
              <c:f>Appendix!$E$4:$E$281</c:f>
              <c:numCache>
                <c:formatCode>General</c:formatCode>
                <c:ptCount val="278"/>
                <c:pt idx="0">
                  <c:v>14.827220179738351</c:v>
                </c:pt>
                <c:pt idx="1">
                  <c:v>44.49677493287431</c:v>
                </c:pt>
                <c:pt idx="2">
                  <c:v>103.80565565182771</c:v>
                </c:pt>
                <c:pt idx="3">
                  <c:v>74.151215292351011</c:v>
                </c:pt>
                <c:pt idx="4">
                  <c:v>59.308880718953404</c:v>
                </c:pt>
                <c:pt idx="5">
                  <c:v>88.963321078430084</c:v>
                </c:pt>
                <c:pt idx="6">
                  <c:v>118.61776143790681</c:v>
                </c:pt>
                <c:pt idx="7">
                  <c:v>88.963321078430084</c:v>
                </c:pt>
                <c:pt idx="8">
                  <c:v>103.80565565182771</c:v>
                </c:pt>
                <c:pt idx="9">
                  <c:v>103.80565565182771</c:v>
                </c:pt>
                <c:pt idx="10">
                  <c:v>163.11453637078111</c:v>
                </c:pt>
                <c:pt idx="11">
                  <c:v>207.58108251633689</c:v>
                </c:pt>
                <c:pt idx="12">
                  <c:v>177.92664215686017</c:v>
                </c:pt>
                <c:pt idx="13">
                  <c:v>148.27220179738347</c:v>
                </c:pt>
                <c:pt idx="14">
                  <c:v>192.7689767302578</c:v>
                </c:pt>
                <c:pt idx="15">
                  <c:v>133.46009601130439</c:v>
                </c:pt>
                <c:pt idx="16">
                  <c:v>148.27220179738347</c:v>
                </c:pt>
                <c:pt idx="17">
                  <c:v>163.11453637078111</c:v>
                </c:pt>
                <c:pt idx="18">
                  <c:v>177.92664215686017</c:v>
                </c:pt>
                <c:pt idx="19">
                  <c:v>192.7689767302578</c:v>
                </c:pt>
                <c:pt idx="20">
                  <c:v>133.46009601130439</c:v>
                </c:pt>
                <c:pt idx="21">
                  <c:v>207.58108251633689</c:v>
                </c:pt>
                <c:pt idx="22">
                  <c:v>163.11453637078111</c:v>
                </c:pt>
                <c:pt idx="23">
                  <c:v>163.11453637078111</c:v>
                </c:pt>
                <c:pt idx="24">
                  <c:v>148.27220179738347</c:v>
                </c:pt>
                <c:pt idx="25">
                  <c:v>192.7689767302578</c:v>
                </c:pt>
                <c:pt idx="26">
                  <c:v>222.4234170897345</c:v>
                </c:pt>
                <c:pt idx="27">
                  <c:v>296.5746323820855</c:v>
                </c:pt>
                <c:pt idx="28">
                  <c:v>266.92019202260877</c:v>
                </c:pt>
                <c:pt idx="29">
                  <c:v>252.07785744921117</c:v>
                </c:pt>
                <c:pt idx="30">
                  <c:v>237.26575166313211</c:v>
                </c:pt>
                <c:pt idx="31">
                  <c:v>207.58108251633689</c:v>
                </c:pt>
                <c:pt idx="32">
                  <c:v>207.58108251633689</c:v>
                </c:pt>
                <c:pt idx="33">
                  <c:v>192.7689767302578</c:v>
                </c:pt>
                <c:pt idx="34">
                  <c:v>266.92019202260877</c:v>
                </c:pt>
                <c:pt idx="35">
                  <c:v>252.07785744921117</c:v>
                </c:pt>
                <c:pt idx="36">
                  <c:v>237.26575166313211</c:v>
                </c:pt>
                <c:pt idx="37">
                  <c:v>281.73229780868792</c:v>
                </c:pt>
                <c:pt idx="38">
                  <c:v>281.73229780868792</c:v>
                </c:pt>
                <c:pt idx="39">
                  <c:v>340.98072095300427</c:v>
                </c:pt>
                <c:pt idx="40">
                  <c:v>311.35650938084609</c:v>
                </c:pt>
                <c:pt idx="41">
                  <c:v>355.7928267390833</c:v>
                </c:pt>
                <c:pt idx="42">
                  <c:v>370.60493252516238</c:v>
                </c:pt>
                <c:pt idx="43">
                  <c:v>326.16861516692512</c:v>
                </c:pt>
                <c:pt idx="44">
                  <c:v>385.41703831124147</c:v>
                </c:pt>
                <c:pt idx="45">
                  <c:v>415.04124988339964</c:v>
                </c:pt>
                <c:pt idx="46">
                  <c:v>400.22914409732056</c:v>
                </c:pt>
                <c:pt idx="47">
                  <c:v>400.22914409732056</c:v>
                </c:pt>
                <c:pt idx="48">
                  <c:v>459.77985511482217</c:v>
                </c:pt>
                <c:pt idx="49">
                  <c:v>474.59196090090126</c:v>
                </c:pt>
                <c:pt idx="50">
                  <c:v>504.21617247305949</c:v>
                </c:pt>
                <c:pt idx="51">
                  <c:v>474.59196090090126</c:v>
                </c:pt>
                <c:pt idx="52">
                  <c:v>489.40406668698034</c:v>
                </c:pt>
                <c:pt idx="53">
                  <c:v>533.84038404521755</c:v>
                </c:pt>
                <c:pt idx="54">
                  <c:v>504.21617247305949</c:v>
                </c:pt>
                <c:pt idx="55">
                  <c:v>519.02827825913857</c:v>
                </c:pt>
                <c:pt idx="56">
                  <c:v>519.02827825913857</c:v>
                </c:pt>
                <c:pt idx="57">
                  <c:v>563.46459561737583</c:v>
                </c:pt>
                <c:pt idx="58">
                  <c:v>593.0888071895339</c:v>
                </c:pt>
                <c:pt idx="59">
                  <c:v>622.71301876169218</c:v>
                </c:pt>
                <c:pt idx="60">
                  <c:v>622.71301876169218</c:v>
                </c:pt>
                <c:pt idx="61">
                  <c:v>652.33723033385024</c:v>
                </c:pt>
                <c:pt idx="62">
                  <c:v>681.96144190600853</c:v>
                </c:pt>
                <c:pt idx="63">
                  <c:v>681.96144190600853</c:v>
                </c:pt>
                <c:pt idx="64">
                  <c:v>697.07583556527288</c:v>
                </c:pt>
                <c:pt idx="65">
                  <c:v>771.13636449566832</c:v>
                </c:pt>
                <c:pt idx="66">
                  <c:v>741.51215292351014</c:v>
                </c:pt>
                <c:pt idx="67">
                  <c:v>756.32425870958923</c:v>
                </c:pt>
                <c:pt idx="68">
                  <c:v>756.32425870958923</c:v>
                </c:pt>
                <c:pt idx="69">
                  <c:v>815.57268185390558</c:v>
                </c:pt>
                <c:pt idx="70">
                  <c:v>785.94847028174729</c:v>
                </c:pt>
                <c:pt idx="71">
                  <c:v>845.19689342606364</c:v>
                </c:pt>
                <c:pt idx="72">
                  <c:v>860.00899921214273</c:v>
                </c:pt>
                <c:pt idx="73">
                  <c:v>830.38478763998467</c:v>
                </c:pt>
                <c:pt idx="74">
                  <c:v>874.82110499822193</c:v>
                </c:pt>
                <c:pt idx="75">
                  <c:v>904.44531657037999</c:v>
                </c:pt>
                <c:pt idx="76">
                  <c:v>919.25742235645907</c:v>
                </c:pt>
                <c:pt idx="77">
                  <c:v>948.88163392861736</c:v>
                </c:pt>
                <c:pt idx="78">
                  <c:v>934.06952814253816</c:v>
                </c:pt>
                <c:pt idx="79">
                  <c:v>948.88163392861736</c:v>
                </c:pt>
                <c:pt idx="80">
                  <c:v>1008.432344946119</c:v>
                </c:pt>
                <c:pt idx="81">
                  <c:v>1052.8686623043561</c:v>
                </c:pt>
                <c:pt idx="82">
                  <c:v>1008.432344946119</c:v>
                </c:pt>
                <c:pt idx="83">
                  <c:v>1067.6807680904351</c:v>
                </c:pt>
                <c:pt idx="84">
                  <c:v>1023.2444507321979</c:v>
                </c:pt>
                <c:pt idx="85">
                  <c:v>1082.4928738765143</c:v>
                </c:pt>
                <c:pt idx="86">
                  <c:v>1126.9291912347517</c:v>
                </c:pt>
                <c:pt idx="87">
                  <c:v>1141.7412970208306</c:v>
                </c:pt>
                <c:pt idx="88">
                  <c:v>1112.1170854486727</c:v>
                </c:pt>
                <c:pt idx="89">
                  <c:v>1141.7412970208306</c:v>
                </c:pt>
                <c:pt idx="90">
                  <c:v>1171.3655085929888</c:v>
                </c:pt>
                <c:pt idx="91">
                  <c:v>1215.801825951226</c:v>
                </c:pt>
                <c:pt idx="92">
                  <c:v>1245.4260375233844</c:v>
                </c:pt>
                <c:pt idx="93">
                  <c:v>1215.801825951226</c:v>
                </c:pt>
                <c:pt idx="94">
                  <c:v>1260.5404311826487</c:v>
                </c:pt>
                <c:pt idx="95">
                  <c:v>1319.7888543269648</c:v>
                </c:pt>
                <c:pt idx="96">
                  <c:v>1304.9767485408859</c:v>
                </c:pt>
                <c:pt idx="97">
                  <c:v>1349.413065899123</c:v>
                </c:pt>
                <c:pt idx="98">
                  <c:v>1304.9767485408859</c:v>
                </c:pt>
                <c:pt idx="99">
                  <c:v>1364.2251716852024</c:v>
                </c:pt>
                <c:pt idx="100">
                  <c:v>1364.2251716852024</c:v>
                </c:pt>
                <c:pt idx="101">
                  <c:v>1408.6614890434396</c:v>
                </c:pt>
                <c:pt idx="102">
                  <c:v>1408.6614890434396</c:v>
                </c:pt>
                <c:pt idx="103">
                  <c:v>1423.4735948295186</c:v>
                </c:pt>
                <c:pt idx="104">
                  <c:v>1467.9099121877557</c:v>
                </c:pt>
                <c:pt idx="105">
                  <c:v>1467.9099121877557</c:v>
                </c:pt>
                <c:pt idx="106">
                  <c:v>1453.0978064016767</c:v>
                </c:pt>
                <c:pt idx="107">
                  <c:v>1482.7220179738349</c:v>
                </c:pt>
                <c:pt idx="108">
                  <c:v>1512.3462295459931</c:v>
                </c:pt>
                <c:pt idx="109">
                  <c:v>1542.2727289913366</c:v>
                </c:pt>
                <c:pt idx="110">
                  <c:v>1586.7090463495738</c:v>
                </c:pt>
                <c:pt idx="111">
                  <c:v>1601.5211521356528</c:v>
                </c:pt>
                <c:pt idx="112">
                  <c:v>1631.1453637078112</c:v>
                </c:pt>
                <c:pt idx="113">
                  <c:v>1660.7695752799693</c:v>
                </c:pt>
                <c:pt idx="114">
                  <c:v>1645.9574694938901</c:v>
                </c:pt>
                <c:pt idx="115">
                  <c:v>1660.7695752799693</c:v>
                </c:pt>
                <c:pt idx="116">
                  <c:v>1675.5816810660483</c:v>
                </c:pt>
                <c:pt idx="117">
                  <c:v>1734.8301042103647</c:v>
                </c:pt>
                <c:pt idx="118">
                  <c:v>1690.3937868521273</c:v>
                </c:pt>
                <c:pt idx="119">
                  <c:v>1764.4543157825228</c:v>
                </c:pt>
                <c:pt idx="120">
                  <c:v>1764.4543157825228</c:v>
                </c:pt>
                <c:pt idx="121">
                  <c:v>1749.6422099964439</c:v>
                </c:pt>
                <c:pt idx="122">
                  <c:v>1779.266421568602</c:v>
                </c:pt>
                <c:pt idx="123">
                  <c:v>1838.8171325861035</c:v>
                </c:pt>
                <c:pt idx="124">
                  <c:v>1868.4413441582617</c:v>
                </c:pt>
                <c:pt idx="125">
                  <c:v>1838.8171325861035</c:v>
                </c:pt>
                <c:pt idx="126">
                  <c:v>1898.0655557304199</c:v>
                </c:pt>
                <c:pt idx="127">
                  <c:v>1927.6897673025778</c:v>
                </c:pt>
                <c:pt idx="128">
                  <c:v>1927.6897673025778</c:v>
                </c:pt>
                <c:pt idx="129">
                  <c:v>1972.1260846608154</c:v>
                </c:pt>
                <c:pt idx="130">
                  <c:v>1957.3139788747362</c:v>
                </c:pt>
                <c:pt idx="131">
                  <c:v>1986.9381904468942</c:v>
                </c:pt>
                <c:pt idx="132">
                  <c:v>1972.1260846608154</c:v>
                </c:pt>
                <c:pt idx="133">
                  <c:v>2046.1866135912107</c:v>
                </c:pt>
                <c:pt idx="134">
                  <c:v>2031.3745078051315</c:v>
                </c:pt>
                <c:pt idx="135">
                  <c:v>2090.9252188226333</c:v>
                </c:pt>
                <c:pt idx="136">
                  <c:v>2105.7373246087122</c:v>
                </c:pt>
                <c:pt idx="137">
                  <c:v>2105.7373246087122</c:v>
                </c:pt>
                <c:pt idx="138">
                  <c:v>2105.7373246087122</c:v>
                </c:pt>
                <c:pt idx="139">
                  <c:v>2164.9857477530286</c:v>
                </c:pt>
                <c:pt idx="140">
                  <c:v>2179.7978535391076</c:v>
                </c:pt>
                <c:pt idx="141">
                  <c:v>2150.1736419669496</c:v>
                </c:pt>
                <c:pt idx="142">
                  <c:v>2224.2341708973454</c:v>
                </c:pt>
                <c:pt idx="143">
                  <c:v>2298.2946998277403</c:v>
                </c:pt>
                <c:pt idx="144">
                  <c:v>2268.6704882555823</c:v>
                </c:pt>
                <c:pt idx="145">
                  <c:v>2298.2946998277403</c:v>
                </c:pt>
                <c:pt idx="146">
                  <c:v>2313.1068056138197</c:v>
                </c:pt>
                <c:pt idx="147">
                  <c:v>2357.5431229720571</c:v>
                </c:pt>
                <c:pt idx="148">
                  <c:v>2313.1068056138197</c:v>
                </c:pt>
                <c:pt idx="149">
                  <c:v>2387.4696224173999</c:v>
                </c:pt>
                <c:pt idx="150">
                  <c:v>2402.2817282034794</c:v>
                </c:pt>
                <c:pt idx="151">
                  <c:v>2431.9059397756373</c:v>
                </c:pt>
                <c:pt idx="152">
                  <c:v>2402.2817282034794</c:v>
                </c:pt>
                <c:pt idx="153">
                  <c:v>2446.7180455617167</c:v>
                </c:pt>
                <c:pt idx="154">
                  <c:v>2476.3422571338751</c:v>
                </c:pt>
                <c:pt idx="155">
                  <c:v>2535.590680278191</c:v>
                </c:pt>
                <c:pt idx="156">
                  <c:v>2476.3422571338751</c:v>
                </c:pt>
                <c:pt idx="157">
                  <c:v>2550.40278606427</c:v>
                </c:pt>
                <c:pt idx="158">
                  <c:v>2609.6512092085868</c:v>
                </c:pt>
                <c:pt idx="159">
                  <c:v>2609.6512092085868</c:v>
                </c:pt>
                <c:pt idx="160">
                  <c:v>2580.0269976364284</c:v>
                </c:pt>
                <c:pt idx="161">
                  <c:v>2624.4633149946653</c:v>
                </c:pt>
                <c:pt idx="162">
                  <c:v>2609.6512092085868</c:v>
                </c:pt>
                <c:pt idx="163">
                  <c:v>2698.826131798246</c:v>
                </c:pt>
                <c:pt idx="164">
                  <c:v>2684.0140260121671</c:v>
                </c:pt>
                <c:pt idx="165">
                  <c:v>2728.4503433704049</c:v>
                </c:pt>
                <c:pt idx="166">
                  <c:v>2743.2624491564834</c:v>
                </c:pt>
                <c:pt idx="167">
                  <c:v>2743.2624491564834</c:v>
                </c:pt>
                <c:pt idx="168">
                  <c:v>2787.6987665147208</c:v>
                </c:pt>
                <c:pt idx="169">
                  <c:v>2817.3229780868792</c:v>
                </c:pt>
                <c:pt idx="170">
                  <c:v>2832.1350838729581</c:v>
                </c:pt>
                <c:pt idx="171">
                  <c:v>2802.5108723007997</c:v>
                </c:pt>
                <c:pt idx="172">
                  <c:v>2906.1956128033535</c:v>
                </c:pt>
                <c:pt idx="173">
                  <c:v>2906.1956128033535</c:v>
                </c:pt>
                <c:pt idx="174">
                  <c:v>2965.7463238208552</c:v>
                </c:pt>
                <c:pt idx="175">
                  <c:v>3010.1826411790926</c:v>
                </c:pt>
                <c:pt idx="176">
                  <c:v>2965.7463238208552</c:v>
                </c:pt>
                <c:pt idx="177">
                  <c:v>2995.3705353930131</c:v>
                </c:pt>
                <c:pt idx="178">
                  <c:v>3025.9016105847272</c:v>
                </c:pt>
                <c:pt idx="179">
                  <c:v>3025.9016105847272</c:v>
                </c:pt>
                <c:pt idx="180">
                  <c:v>3025.9016105847272</c:v>
                </c:pt>
                <c:pt idx="181">
                  <c:v>3143.7938811269892</c:v>
                </c:pt>
                <c:pt idx="182">
                  <c:v>3098.4507001491961</c:v>
                </c:pt>
                <c:pt idx="183">
                  <c:v>3143.7938811269892</c:v>
                </c:pt>
                <c:pt idx="184">
                  <c:v>3189.1370621047822</c:v>
                </c:pt>
                <c:pt idx="185">
                  <c:v>3158.9082747862535</c:v>
                </c:pt>
                <c:pt idx="186">
                  <c:v>3143.7938811269892</c:v>
                </c:pt>
                <c:pt idx="187">
                  <c:v>3216.342970691458</c:v>
                </c:pt>
                <c:pt idx="188">
                  <c:v>3261.6861516692516</c:v>
                </c:pt>
                <c:pt idx="189">
                  <c:v>3246.5717580099872</c:v>
                </c:pt>
                <c:pt idx="190">
                  <c:v>3307.0293326470446</c:v>
                </c:pt>
                <c:pt idx="191">
                  <c:v>3307.0293326470446</c:v>
                </c:pt>
                <c:pt idx="192">
                  <c:v>3352.3725136248377</c:v>
                </c:pt>
                <c:pt idx="193">
                  <c:v>3394.6928158707778</c:v>
                </c:pt>
                <c:pt idx="194">
                  <c:v>3367.486907284102</c:v>
                </c:pt>
                <c:pt idx="195">
                  <c:v>3424.9216031893066</c:v>
                </c:pt>
                <c:pt idx="196">
                  <c:v>3394.6928158707778</c:v>
                </c:pt>
                <c:pt idx="197">
                  <c:v>3485.3791778263644</c:v>
                </c:pt>
                <c:pt idx="198">
                  <c:v>3470.2647841671001</c:v>
                </c:pt>
                <c:pt idx="199">
                  <c:v>3500.4935714856288</c:v>
                </c:pt>
                <c:pt idx="200">
                  <c:v>3573.0426610500976</c:v>
                </c:pt>
                <c:pt idx="201">
                  <c:v>3515.6079651448931</c:v>
                </c:pt>
                <c:pt idx="202">
                  <c:v>3588.157054709362</c:v>
                </c:pt>
                <c:pt idx="203">
                  <c:v>3603.2714483686264</c:v>
                </c:pt>
                <c:pt idx="204">
                  <c:v>3603.2714483686264</c:v>
                </c:pt>
                <c:pt idx="205">
                  <c:v>3603.2714483686264</c:v>
                </c:pt>
                <c:pt idx="206">
                  <c:v>3690.9349315923596</c:v>
                </c:pt>
                <c:pt idx="207">
                  <c:v>3721.1637189108883</c:v>
                </c:pt>
                <c:pt idx="208">
                  <c:v>3736.2781125701526</c:v>
                </c:pt>
                <c:pt idx="209">
                  <c:v>3751.3925062294174</c:v>
                </c:pt>
                <c:pt idx="210">
                  <c:v>3706.0493252516239</c:v>
                </c:pt>
                <c:pt idx="211">
                  <c:v>3766.5068998886818</c:v>
                </c:pt>
                <c:pt idx="212">
                  <c:v>3766.5068998886818</c:v>
                </c:pt>
                <c:pt idx="213">
                  <c:v>3839.0559894531507</c:v>
                </c:pt>
                <c:pt idx="214">
                  <c:v>3839.0559894531507</c:v>
                </c:pt>
                <c:pt idx="215">
                  <c:v>3914.6279577494724</c:v>
                </c:pt>
                <c:pt idx="216">
                  <c:v>3959.9711387272655</c:v>
                </c:pt>
                <c:pt idx="217">
                  <c:v>3959.9711387272655</c:v>
                </c:pt>
                <c:pt idx="218">
                  <c:v>3929.7423514087368</c:v>
                </c:pt>
                <c:pt idx="219">
                  <c:v>4017.40583463247</c:v>
                </c:pt>
                <c:pt idx="220">
                  <c:v>4002.2914409732057</c:v>
                </c:pt>
                <c:pt idx="221">
                  <c:v>4047.6346219509987</c:v>
                </c:pt>
                <c:pt idx="222">
                  <c:v>4032.5202282917344</c:v>
                </c:pt>
                <c:pt idx="223">
                  <c:v>4092.9778029287918</c:v>
                </c:pt>
                <c:pt idx="224">
                  <c:v>4123.2065902473205</c:v>
                </c:pt>
                <c:pt idx="225">
                  <c:v>4138.3209839065848</c:v>
                </c:pt>
                <c:pt idx="226">
                  <c:v>4165.5268924932616</c:v>
                </c:pt>
                <c:pt idx="227">
                  <c:v>4195.7556798117903</c:v>
                </c:pt>
                <c:pt idx="228">
                  <c:v>4195.7556798117903</c:v>
                </c:pt>
                <c:pt idx="229">
                  <c:v>4256.2132544488477</c:v>
                </c:pt>
                <c:pt idx="230">
                  <c:v>4271.327648108112</c:v>
                </c:pt>
                <c:pt idx="231">
                  <c:v>4286.4420417673764</c:v>
                </c:pt>
                <c:pt idx="232">
                  <c:v>4313.6479503540513</c:v>
                </c:pt>
                <c:pt idx="233">
                  <c:v>4286.4420417673764</c:v>
                </c:pt>
                <c:pt idx="234">
                  <c:v>4328.7623440133157</c:v>
                </c:pt>
                <c:pt idx="235">
                  <c:v>4404.3343123096383</c:v>
                </c:pt>
                <c:pt idx="236">
                  <c:v>4374.1055249911096</c:v>
                </c:pt>
                <c:pt idx="237">
                  <c:v>4449.6774932874314</c:v>
                </c:pt>
                <c:pt idx="238">
                  <c:v>4464.7918869466957</c:v>
                </c:pt>
                <c:pt idx="239">
                  <c:v>4491.9977955333716</c:v>
                </c:pt>
                <c:pt idx="240">
                  <c:v>4537.3409765111646</c:v>
                </c:pt>
                <c:pt idx="241">
                  <c:v>4552.455370170429</c:v>
                </c:pt>
                <c:pt idx="242">
                  <c:v>4552.455370170429</c:v>
                </c:pt>
                <c:pt idx="243">
                  <c:v>4582.6841574889577</c:v>
                </c:pt>
                <c:pt idx="244">
                  <c:v>4597.798551148222</c:v>
                </c:pt>
                <c:pt idx="245">
                  <c:v>4625.0044597348979</c:v>
                </c:pt>
                <c:pt idx="246">
                  <c:v>4640.1188533941622</c:v>
                </c:pt>
                <c:pt idx="247">
                  <c:v>4700.5764280312196</c:v>
                </c:pt>
                <c:pt idx="248">
                  <c:v>4715.690821690484</c:v>
                </c:pt>
                <c:pt idx="249">
                  <c:v>4700.5764280312196</c:v>
                </c:pt>
                <c:pt idx="250">
                  <c:v>4761.034002668277</c:v>
                </c:pt>
                <c:pt idx="251">
                  <c:v>4776.1483963275414</c:v>
                </c:pt>
                <c:pt idx="252">
                  <c:v>4788.2399112549538</c:v>
                </c:pt>
                <c:pt idx="253">
                  <c:v>4833.5830922327459</c:v>
                </c:pt>
                <c:pt idx="254">
                  <c:v>4909.1550605290677</c:v>
                </c:pt>
                <c:pt idx="255">
                  <c:v>4863.8118795512746</c:v>
                </c:pt>
                <c:pt idx="256">
                  <c:v>4936.3609691157444</c:v>
                </c:pt>
                <c:pt idx="257">
                  <c:v>4951.4753627750088</c:v>
                </c:pt>
                <c:pt idx="258">
                  <c:v>4966.5897564342731</c:v>
                </c:pt>
                <c:pt idx="259">
                  <c:v>4981.7041500935375</c:v>
                </c:pt>
                <c:pt idx="260">
                  <c:v>4924.269454188332</c:v>
                </c:pt>
                <c:pt idx="261">
                  <c:v>5042.1617247305949</c:v>
                </c:pt>
                <c:pt idx="262">
                  <c:v>4996.8185437528018</c:v>
                </c:pt>
                <c:pt idx="263">
                  <c:v>5099.5964206357985</c:v>
                </c:pt>
                <c:pt idx="264">
                  <c:v>5129.8252079543272</c:v>
                </c:pt>
                <c:pt idx="265">
                  <c:v>5114.7108142950628</c:v>
                </c:pt>
                <c:pt idx="266">
                  <c:v>5175.1683889321212</c:v>
                </c:pt>
                <c:pt idx="267">
                  <c:v>5205.3971762506499</c:v>
                </c:pt>
                <c:pt idx="268">
                  <c:v>5190.2827825913855</c:v>
                </c:pt>
                <c:pt idx="269">
                  <c:v>5235.6259635691786</c:v>
                </c:pt>
                <c:pt idx="270">
                  <c:v>5247.71747849659</c:v>
                </c:pt>
                <c:pt idx="271">
                  <c:v>5338.4038404521762</c:v>
                </c:pt>
                <c:pt idx="272">
                  <c:v>5277.9462658151187</c:v>
                </c:pt>
                <c:pt idx="273">
                  <c:v>5398.8614150892345</c:v>
                </c:pt>
                <c:pt idx="274">
                  <c:v>5338.4038404521762</c:v>
                </c:pt>
                <c:pt idx="275">
                  <c:v>5353.5182341114405</c:v>
                </c:pt>
                <c:pt idx="276">
                  <c:v>5398.8614150892345</c:v>
                </c:pt>
                <c:pt idx="277">
                  <c:v>444.96774932874314</c:v>
                </c:pt>
              </c:numCache>
            </c:numRef>
          </c:yVal>
          <c:smooth val="1"/>
          <c:extLst>
            <c:ext xmlns:c16="http://schemas.microsoft.com/office/drawing/2014/chart" uri="{C3380CC4-5D6E-409C-BE32-E72D297353CC}">
              <c16:uniqueId val="{00000000-F284-4CD7-86CD-1D841C4ABD27}"/>
            </c:ext>
          </c:extLst>
        </c:ser>
        <c:dLbls>
          <c:showLegendKey val="0"/>
          <c:showVal val="0"/>
          <c:showCatName val="0"/>
          <c:showSerName val="0"/>
          <c:showPercent val="0"/>
          <c:showBubbleSize val="0"/>
        </c:dLbls>
        <c:axId val="1356673856"/>
        <c:axId val="1356679616"/>
      </c:scatterChart>
      <c:valAx>
        <c:axId val="1356673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Strain</a:t>
                </a:r>
                <a:r>
                  <a:rPr lang="fr-FR" baseline="0"/>
                  <a:t> (non dimension)</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6679616"/>
        <c:crosses val="autoZero"/>
        <c:crossBetween val="midCat"/>
      </c:valAx>
      <c:valAx>
        <c:axId val="135667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Stress</a:t>
                </a:r>
                <a:r>
                  <a:rPr lang="fr-FR" baseline="0"/>
                  <a:t> (MPa)</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6673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Stress-Strain</c:v>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Appendix!$F$100:$F$263</c:f>
              <c:numCache>
                <c:formatCode>General</c:formatCode>
                <c:ptCount val="164"/>
                <c:pt idx="0">
                  <c:v>7.5398212413242127E-3</c:v>
                </c:pt>
                <c:pt idx="1">
                  <c:v>7.5897538323263592E-3</c:v>
                </c:pt>
                <c:pt idx="2">
                  <c:v>7.6896190143306538E-3</c:v>
                </c:pt>
                <c:pt idx="3">
                  <c:v>7.7894841963349476E-3</c:v>
                </c:pt>
                <c:pt idx="4">
                  <c:v>7.8394167873370949E-3</c:v>
                </c:pt>
                <c:pt idx="5">
                  <c:v>7.9392819693413896E-3</c:v>
                </c:pt>
                <c:pt idx="6">
                  <c:v>8.0391471513456825E-3</c:v>
                </c:pt>
                <c:pt idx="7">
                  <c:v>8.0890797423478298E-3</c:v>
                </c:pt>
                <c:pt idx="8">
                  <c:v>8.1889449243521244E-3</c:v>
                </c:pt>
                <c:pt idx="9">
                  <c:v>8.2888101063564191E-3</c:v>
                </c:pt>
                <c:pt idx="10">
                  <c:v>8.3387426973585664E-3</c:v>
                </c:pt>
                <c:pt idx="11">
                  <c:v>8.4386078793628593E-3</c:v>
                </c:pt>
                <c:pt idx="12">
                  <c:v>8.538473061367154E-3</c:v>
                </c:pt>
                <c:pt idx="13">
                  <c:v>8.5884056523693013E-3</c:v>
                </c:pt>
                <c:pt idx="14">
                  <c:v>8.6882708343735959E-3</c:v>
                </c:pt>
                <c:pt idx="15">
                  <c:v>8.7881360163778906E-3</c:v>
                </c:pt>
                <c:pt idx="16">
                  <c:v>8.8380686073800362E-3</c:v>
                </c:pt>
                <c:pt idx="17">
                  <c:v>8.9379337893843308E-3</c:v>
                </c:pt>
                <c:pt idx="18">
                  <c:v>9.0377989713886255E-3</c:v>
                </c:pt>
                <c:pt idx="19">
                  <c:v>9.0877315623907728E-3</c:v>
                </c:pt>
                <c:pt idx="20">
                  <c:v>9.1875967443950674E-3</c:v>
                </c:pt>
                <c:pt idx="21">
                  <c:v>9.2874619263993603E-3</c:v>
                </c:pt>
                <c:pt idx="22">
                  <c:v>9.387327108403655E-3</c:v>
                </c:pt>
                <c:pt idx="23">
                  <c:v>9.4372596994058023E-3</c:v>
                </c:pt>
                <c:pt idx="24">
                  <c:v>9.5371248814100969E-3</c:v>
                </c:pt>
                <c:pt idx="25">
                  <c:v>9.6369900634143899E-3</c:v>
                </c:pt>
                <c:pt idx="26">
                  <c:v>9.6869226544165372E-3</c:v>
                </c:pt>
                <c:pt idx="27">
                  <c:v>9.7867878364208318E-3</c:v>
                </c:pt>
                <c:pt idx="28">
                  <c:v>9.8866530184251265E-3</c:v>
                </c:pt>
                <c:pt idx="29">
                  <c:v>9.9865182004294211E-3</c:v>
                </c:pt>
                <c:pt idx="30">
                  <c:v>1.0036450791431567E-2</c:v>
                </c:pt>
                <c:pt idx="31">
                  <c:v>1.0136315973435861E-2</c:v>
                </c:pt>
                <c:pt idx="32">
                  <c:v>1.0236181155440156E-2</c:v>
                </c:pt>
                <c:pt idx="33">
                  <c:v>1.0286113746442303E-2</c:v>
                </c:pt>
                <c:pt idx="34">
                  <c:v>1.0385978928446598E-2</c:v>
                </c:pt>
                <c:pt idx="35">
                  <c:v>1.0485844110450891E-2</c:v>
                </c:pt>
                <c:pt idx="36">
                  <c:v>1.0535776701453038E-2</c:v>
                </c:pt>
                <c:pt idx="37">
                  <c:v>1.0635641883457333E-2</c:v>
                </c:pt>
                <c:pt idx="38">
                  <c:v>1.0735507065461627E-2</c:v>
                </c:pt>
                <c:pt idx="39">
                  <c:v>1.083537224746592E-2</c:v>
                </c:pt>
                <c:pt idx="40">
                  <c:v>1.0885304838468068E-2</c:v>
                </c:pt>
                <c:pt idx="41">
                  <c:v>1.0985170020472362E-2</c:v>
                </c:pt>
                <c:pt idx="42">
                  <c:v>1.1085035202476657E-2</c:v>
                </c:pt>
                <c:pt idx="43">
                  <c:v>1.118490038448095E-2</c:v>
                </c:pt>
                <c:pt idx="44">
                  <c:v>1.1234832975483097E-2</c:v>
                </c:pt>
                <c:pt idx="45">
                  <c:v>1.1334698157487392E-2</c:v>
                </c:pt>
                <c:pt idx="46">
                  <c:v>1.1434563339491687E-2</c:v>
                </c:pt>
                <c:pt idx="47">
                  <c:v>1.1534428521495981E-2</c:v>
                </c:pt>
                <c:pt idx="48">
                  <c:v>1.1584361112498127E-2</c:v>
                </c:pt>
                <c:pt idx="49">
                  <c:v>1.1684226294502421E-2</c:v>
                </c:pt>
                <c:pt idx="50">
                  <c:v>1.1784091476506716E-2</c:v>
                </c:pt>
                <c:pt idx="51">
                  <c:v>1.1834024067508863E-2</c:v>
                </c:pt>
                <c:pt idx="52">
                  <c:v>1.1933889249513158E-2</c:v>
                </c:pt>
                <c:pt idx="53">
                  <c:v>1.2033754431517451E-2</c:v>
                </c:pt>
                <c:pt idx="54">
                  <c:v>1.2133619613521746E-2</c:v>
                </c:pt>
                <c:pt idx="55">
                  <c:v>1.2183552204523893E-2</c:v>
                </c:pt>
                <c:pt idx="56">
                  <c:v>1.2283417386528188E-2</c:v>
                </c:pt>
                <c:pt idx="57">
                  <c:v>1.238328256853248E-2</c:v>
                </c:pt>
                <c:pt idx="58">
                  <c:v>1.2483147750536775E-2</c:v>
                </c:pt>
                <c:pt idx="59">
                  <c:v>1.258301293254107E-2</c:v>
                </c:pt>
                <c:pt idx="60">
                  <c:v>1.2632945523543217E-2</c:v>
                </c:pt>
                <c:pt idx="61">
                  <c:v>1.2732810705547512E-2</c:v>
                </c:pt>
                <c:pt idx="62">
                  <c:v>1.2832675887551805E-2</c:v>
                </c:pt>
                <c:pt idx="63">
                  <c:v>1.2932541069556099E-2</c:v>
                </c:pt>
                <c:pt idx="64">
                  <c:v>1.2982473660558247E-2</c:v>
                </c:pt>
                <c:pt idx="65">
                  <c:v>1.3082338842562541E-2</c:v>
                </c:pt>
                <c:pt idx="66">
                  <c:v>1.3182204024566834E-2</c:v>
                </c:pt>
                <c:pt idx="67">
                  <c:v>1.3282069206571129E-2</c:v>
                </c:pt>
                <c:pt idx="68">
                  <c:v>1.3381934388575423E-2</c:v>
                </c:pt>
                <c:pt idx="69">
                  <c:v>1.3431866979577571E-2</c:v>
                </c:pt>
                <c:pt idx="70">
                  <c:v>1.3531732161581864E-2</c:v>
                </c:pt>
                <c:pt idx="71">
                  <c:v>1.3631597343586158E-2</c:v>
                </c:pt>
                <c:pt idx="72">
                  <c:v>1.3731462525590453E-2</c:v>
                </c:pt>
                <c:pt idx="73">
                  <c:v>1.37813951165926E-2</c:v>
                </c:pt>
                <c:pt idx="74">
                  <c:v>1.3881260298596895E-2</c:v>
                </c:pt>
                <c:pt idx="75">
                  <c:v>1.3981125480601188E-2</c:v>
                </c:pt>
                <c:pt idx="76">
                  <c:v>1.4080990662605482E-2</c:v>
                </c:pt>
                <c:pt idx="77">
                  <c:v>1.4180855844609777E-2</c:v>
                </c:pt>
                <c:pt idx="78">
                  <c:v>1.4230788435611924E-2</c:v>
                </c:pt>
                <c:pt idx="79">
                  <c:v>1.4330653617616217E-2</c:v>
                </c:pt>
                <c:pt idx="80">
                  <c:v>1.4430518799620512E-2</c:v>
                </c:pt>
                <c:pt idx="81">
                  <c:v>1.4530383981624807E-2</c:v>
                </c:pt>
                <c:pt idx="82">
                  <c:v>1.4630249163629101E-2</c:v>
                </c:pt>
                <c:pt idx="83">
                  <c:v>1.4730114345633394E-2</c:v>
                </c:pt>
                <c:pt idx="84">
                  <c:v>1.4780046936635542E-2</c:v>
                </c:pt>
                <c:pt idx="85">
                  <c:v>1.4879912118639836E-2</c:v>
                </c:pt>
                <c:pt idx="86">
                  <c:v>1.4979777300644131E-2</c:v>
                </c:pt>
                <c:pt idx="87">
                  <c:v>1.5079642482648425E-2</c:v>
                </c:pt>
                <c:pt idx="88">
                  <c:v>1.5179507664652718E-2</c:v>
                </c:pt>
                <c:pt idx="89">
                  <c:v>1.5229440255654866E-2</c:v>
                </c:pt>
                <c:pt idx="90">
                  <c:v>1.532930543765916E-2</c:v>
                </c:pt>
                <c:pt idx="91">
                  <c:v>1.5429170619663455E-2</c:v>
                </c:pt>
                <c:pt idx="92">
                  <c:v>1.5529035801667748E-2</c:v>
                </c:pt>
                <c:pt idx="93">
                  <c:v>1.5628900983672044E-2</c:v>
                </c:pt>
                <c:pt idx="94">
                  <c:v>1.5728766165676335E-2</c:v>
                </c:pt>
                <c:pt idx="95">
                  <c:v>1.5778698756678484E-2</c:v>
                </c:pt>
                <c:pt idx="96">
                  <c:v>1.5878563938682779E-2</c:v>
                </c:pt>
                <c:pt idx="97">
                  <c:v>1.5978429120687074E-2</c:v>
                </c:pt>
                <c:pt idx="98">
                  <c:v>1.6078294302691365E-2</c:v>
                </c:pt>
                <c:pt idx="99">
                  <c:v>1.617815948469566E-2</c:v>
                </c:pt>
                <c:pt idx="100">
                  <c:v>1.6278024666699954E-2</c:v>
                </c:pt>
                <c:pt idx="101">
                  <c:v>1.6377889848704249E-2</c:v>
                </c:pt>
                <c:pt idx="102">
                  <c:v>1.6427822439706398E-2</c:v>
                </c:pt>
                <c:pt idx="103">
                  <c:v>1.6527687621710689E-2</c:v>
                </c:pt>
                <c:pt idx="104">
                  <c:v>1.6627552803714984E-2</c:v>
                </c:pt>
                <c:pt idx="105">
                  <c:v>1.6727417985719278E-2</c:v>
                </c:pt>
                <c:pt idx="106">
                  <c:v>1.6827283167723573E-2</c:v>
                </c:pt>
                <c:pt idx="107">
                  <c:v>1.6927148349727868E-2</c:v>
                </c:pt>
                <c:pt idx="108">
                  <c:v>1.7027013531732162E-2</c:v>
                </c:pt>
                <c:pt idx="109">
                  <c:v>1.7076946122734308E-2</c:v>
                </c:pt>
                <c:pt idx="110">
                  <c:v>1.7176811304738603E-2</c:v>
                </c:pt>
                <c:pt idx="111">
                  <c:v>1.7276676486742897E-2</c:v>
                </c:pt>
                <c:pt idx="112">
                  <c:v>1.7376541668747192E-2</c:v>
                </c:pt>
                <c:pt idx="113">
                  <c:v>1.7476406850751487E-2</c:v>
                </c:pt>
                <c:pt idx="114">
                  <c:v>1.7576272032755781E-2</c:v>
                </c:pt>
                <c:pt idx="115">
                  <c:v>1.7676137214760072E-2</c:v>
                </c:pt>
                <c:pt idx="116">
                  <c:v>1.7776002396764367E-2</c:v>
                </c:pt>
                <c:pt idx="117">
                  <c:v>1.7825934987766516E-2</c:v>
                </c:pt>
                <c:pt idx="118">
                  <c:v>1.7925800169770811E-2</c:v>
                </c:pt>
                <c:pt idx="119">
                  <c:v>1.8025665351775105E-2</c:v>
                </c:pt>
                <c:pt idx="120">
                  <c:v>1.8125530533779396E-2</c:v>
                </c:pt>
                <c:pt idx="121">
                  <c:v>1.8225395715783691E-2</c:v>
                </c:pt>
                <c:pt idx="122">
                  <c:v>1.8325260897787986E-2</c:v>
                </c:pt>
                <c:pt idx="123">
                  <c:v>1.842512607979228E-2</c:v>
                </c:pt>
                <c:pt idx="124">
                  <c:v>1.8524991261796575E-2</c:v>
                </c:pt>
                <c:pt idx="125">
                  <c:v>1.862485644380087E-2</c:v>
                </c:pt>
                <c:pt idx="126">
                  <c:v>1.8724721625805164E-2</c:v>
                </c:pt>
                <c:pt idx="127">
                  <c:v>1.877465421680731E-2</c:v>
                </c:pt>
                <c:pt idx="128">
                  <c:v>1.8874519398811605E-2</c:v>
                </c:pt>
                <c:pt idx="129">
                  <c:v>1.8974384580815899E-2</c:v>
                </c:pt>
                <c:pt idx="130">
                  <c:v>1.9074249762820194E-2</c:v>
                </c:pt>
                <c:pt idx="131">
                  <c:v>1.9174114944824489E-2</c:v>
                </c:pt>
                <c:pt idx="132">
                  <c:v>1.927398012682878E-2</c:v>
                </c:pt>
                <c:pt idx="133">
                  <c:v>1.9373845308833074E-2</c:v>
                </c:pt>
                <c:pt idx="134">
                  <c:v>1.9473710490837369E-2</c:v>
                </c:pt>
                <c:pt idx="135">
                  <c:v>1.9573575672841664E-2</c:v>
                </c:pt>
                <c:pt idx="136">
                  <c:v>1.9673440854845958E-2</c:v>
                </c:pt>
                <c:pt idx="137">
                  <c:v>1.9773306036850253E-2</c:v>
                </c:pt>
                <c:pt idx="138">
                  <c:v>1.9823238627852399E-2</c:v>
                </c:pt>
                <c:pt idx="139">
                  <c:v>1.9923103809856693E-2</c:v>
                </c:pt>
                <c:pt idx="140">
                  <c:v>2.0022968991860988E-2</c:v>
                </c:pt>
                <c:pt idx="141">
                  <c:v>2.0122834173865282E-2</c:v>
                </c:pt>
                <c:pt idx="142">
                  <c:v>2.0222699355869577E-2</c:v>
                </c:pt>
                <c:pt idx="143">
                  <c:v>2.0322564537873872E-2</c:v>
                </c:pt>
                <c:pt idx="144">
                  <c:v>2.0422429719878163E-2</c:v>
                </c:pt>
                <c:pt idx="145">
                  <c:v>2.0522294901882458E-2</c:v>
                </c:pt>
                <c:pt idx="146">
                  <c:v>2.0622160083886752E-2</c:v>
                </c:pt>
                <c:pt idx="147">
                  <c:v>2.0722025265891047E-2</c:v>
                </c:pt>
                <c:pt idx="148">
                  <c:v>2.0821890447895341E-2</c:v>
                </c:pt>
                <c:pt idx="149">
                  <c:v>2.0921755629899636E-2</c:v>
                </c:pt>
                <c:pt idx="150">
                  <c:v>2.1021620811903931E-2</c:v>
                </c:pt>
                <c:pt idx="151">
                  <c:v>2.1121485993908225E-2</c:v>
                </c:pt>
                <c:pt idx="152">
                  <c:v>2.1221351175912517E-2</c:v>
                </c:pt>
                <c:pt idx="153">
                  <c:v>2.1271283766914666E-2</c:v>
                </c:pt>
                <c:pt idx="154">
                  <c:v>2.137114894891896E-2</c:v>
                </c:pt>
                <c:pt idx="155">
                  <c:v>2.1471014130923255E-2</c:v>
                </c:pt>
                <c:pt idx="156">
                  <c:v>2.1570879312927546E-2</c:v>
                </c:pt>
                <c:pt idx="157">
                  <c:v>2.1670744494931841E-2</c:v>
                </c:pt>
                <c:pt idx="158">
                  <c:v>2.1770609676936135E-2</c:v>
                </c:pt>
                <c:pt idx="159">
                  <c:v>2.187047485894043E-2</c:v>
                </c:pt>
                <c:pt idx="160">
                  <c:v>2.1970340040944725E-2</c:v>
                </c:pt>
                <c:pt idx="161">
                  <c:v>2.2070205222949019E-2</c:v>
                </c:pt>
                <c:pt idx="162">
                  <c:v>2.2170070404953314E-2</c:v>
                </c:pt>
                <c:pt idx="163">
                  <c:v>2.2269935586957609E-2</c:v>
                </c:pt>
              </c:numCache>
            </c:numRef>
          </c:xVal>
          <c:yVal>
            <c:numRef>
              <c:f>Appendix!$E$100:$E$263</c:f>
              <c:numCache>
                <c:formatCode>General</c:formatCode>
                <c:ptCount val="164"/>
                <c:pt idx="0">
                  <c:v>1304.9767485408859</c:v>
                </c:pt>
                <c:pt idx="1">
                  <c:v>1349.413065899123</c:v>
                </c:pt>
                <c:pt idx="2">
                  <c:v>1304.9767485408859</c:v>
                </c:pt>
                <c:pt idx="3">
                  <c:v>1364.2251716852024</c:v>
                </c:pt>
                <c:pt idx="4">
                  <c:v>1364.2251716852024</c:v>
                </c:pt>
                <c:pt idx="5">
                  <c:v>1408.6614890434396</c:v>
                </c:pt>
                <c:pt idx="6">
                  <c:v>1408.6614890434396</c:v>
                </c:pt>
                <c:pt idx="7">
                  <c:v>1423.4735948295186</c:v>
                </c:pt>
                <c:pt idx="8">
                  <c:v>1467.9099121877557</c:v>
                </c:pt>
                <c:pt idx="9">
                  <c:v>1467.9099121877557</c:v>
                </c:pt>
                <c:pt idx="10">
                  <c:v>1453.0978064016767</c:v>
                </c:pt>
                <c:pt idx="11">
                  <c:v>1482.7220179738349</c:v>
                </c:pt>
                <c:pt idx="12">
                  <c:v>1512.3462295459931</c:v>
                </c:pt>
                <c:pt idx="13">
                  <c:v>1542.2727289913366</c:v>
                </c:pt>
                <c:pt idx="14">
                  <c:v>1586.7090463495738</c:v>
                </c:pt>
                <c:pt idx="15">
                  <c:v>1601.5211521356528</c:v>
                </c:pt>
                <c:pt idx="16">
                  <c:v>1631.1453637078112</c:v>
                </c:pt>
                <c:pt idx="17">
                  <c:v>1660.7695752799693</c:v>
                </c:pt>
                <c:pt idx="18">
                  <c:v>1645.9574694938901</c:v>
                </c:pt>
                <c:pt idx="19">
                  <c:v>1660.7695752799693</c:v>
                </c:pt>
                <c:pt idx="20">
                  <c:v>1675.5816810660483</c:v>
                </c:pt>
                <c:pt idx="21">
                  <c:v>1734.8301042103647</c:v>
                </c:pt>
                <c:pt idx="22">
                  <c:v>1690.3937868521273</c:v>
                </c:pt>
                <c:pt idx="23">
                  <c:v>1764.4543157825228</c:v>
                </c:pt>
                <c:pt idx="24">
                  <c:v>1764.4543157825228</c:v>
                </c:pt>
                <c:pt idx="25">
                  <c:v>1749.6422099964439</c:v>
                </c:pt>
                <c:pt idx="26">
                  <c:v>1779.266421568602</c:v>
                </c:pt>
                <c:pt idx="27">
                  <c:v>1838.8171325861035</c:v>
                </c:pt>
                <c:pt idx="28">
                  <c:v>1868.4413441582617</c:v>
                </c:pt>
                <c:pt idx="29">
                  <c:v>1838.8171325861035</c:v>
                </c:pt>
                <c:pt idx="30">
                  <c:v>1898.0655557304199</c:v>
                </c:pt>
                <c:pt idx="31">
                  <c:v>1927.6897673025778</c:v>
                </c:pt>
                <c:pt idx="32">
                  <c:v>1927.6897673025778</c:v>
                </c:pt>
                <c:pt idx="33">
                  <c:v>1972.1260846608154</c:v>
                </c:pt>
                <c:pt idx="34">
                  <c:v>1957.3139788747362</c:v>
                </c:pt>
                <c:pt idx="35">
                  <c:v>1986.9381904468942</c:v>
                </c:pt>
                <c:pt idx="36">
                  <c:v>1972.1260846608154</c:v>
                </c:pt>
                <c:pt idx="37">
                  <c:v>2046.1866135912107</c:v>
                </c:pt>
                <c:pt idx="38">
                  <c:v>2031.3745078051315</c:v>
                </c:pt>
                <c:pt idx="39">
                  <c:v>2090.9252188226333</c:v>
                </c:pt>
                <c:pt idx="40">
                  <c:v>2105.7373246087122</c:v>
                </c:pt>
                <c:pt idx="41">
                  <c:v>2105.7373246087122</c:v>
                </c:pt>
                <c:pt idx="42">
                  <c:v>2105.7373246087122</c:v>
                </c:pt>
                <c:pt idx="43">
                  <c:v>2164.9857477530286</c:v>
                </c:pt>
                <c:pt idx="44">
                  <c:v>2179.7978535391076</c:v>
                </c:pt>
                <c:pt idx="45">
                  <c:v>2150.1736419669496</c:v>
                </c:pt>
                <c:pt idx="46">
                  <c:v>2224.2341708973454</c:v>
                </c:pt>
                <c:pt idx="47">
                  <c:v>2298.2946998277403</c:v>
                </c:pt>
                <c:pt idx="48">
                  <c:v>2268.6704882555823</c:v>
                </c:pt>
                <c:pt idx="49">
                  <c:v>2298.2946998277403</c:v>
                </c:pt>
                <c:pt idx="50">
                  <c:v>2313.1068056138197</c:v>
                </c:pt>
                <c:pt idx="51">
                  <c:v>2357.5431229720571</c:v>
                </c:pt>
                <c:pt idx="52">
                  <c:v>2313.1068056138197</c:v>
                </c:pt>
                <c:pt idx="53">
                  <c:v>2387.4696224173999</c:v>
                </c:pt>
                <c:pt idx="54">
                  <c:v>2402.2817282034794</c:v>
                </c:pt>
                <c:pt idx="55">
                  <c:v>2431.9059397756373</c:v>
                </c:pt>
                <c:pt idx="56">
                  <c:v>2402.2817282034794</c:v>
                </c:pt>
                <c:pt idx="57">
                  <c:v>2446.7180455617167</c:v>
                </c:pt>
                <c:pt idx="58">
                  <c:v>2476.3422571338751</c:v>
                </c:pt>
                <c:pt idx="59">
                  <c:v>2535.590680278191</c:v>
                </c:pt>
                <c:pt idx="60">
                  <c:v>2476.3422571338751</c:v>
                </c:pt>
                <c:pt idx="61">
                  <c:v>2550.40278606427</c:v>
                </c:pt>
                <c:pt idx="62">
                  <c:v>2609.6512092085868</c:v>
                </c:pt>
                <c:pt idx="63">
                  <c:v>2609.6512092085868</c:v>
                </c:pt>
                <c:pt idx="64">
                  <c:v>2580.0269976364284</c:v>
                </c:pt>
                <c:pt idx="65">
                  <c:v>2624.4633149946653</c:v>
                </c:pt>
                <c:pt idx="66">
                  <c:v>2609.6512092085868</c:v>
                </c:pt>
                <c:pt idx="67">
                  <c:v>2698.826131798246</c:v>
                </c:pt>
                <c:pt idx="68">
                  <c:v>2684.0140260121671</c:v>
                </c:pt>
                <c:pt idx="69">
                  <c:v>2728.4503433704049</c:v>
                </c:pt>
                <c:pt idx="70">
                  <c:v>2743.2624491564834</c:v>
                </c:pt>
                <c:pt idx="71">
                  <c:v>2743.2624491564834</c:v>
                </c:pt>
                <c:pt idx="72">
                  <c:v>2787.6987665147208</c:v>
                </c:pt>
                <c:pt idx="73">
                  <c:v>2817.3229780868792</c:v>
                </c:pt>
                <c:pt idx="74">
                  <c:v>2832.1350838729581</c:v>
                </c:pt>
                <c:pt idx="75">
                  <c:v>2802.5108723007997</c:v>
                </c:pt>
                <c:pt idx="76">
                  <c:v>2906.1956128033535</c:v>
                </c:pt>
                <c:pt idx="77">
                  <c:v>2906.1956128033535</c:v>
                </c:pt>
                <c:pt idx="78">
                  <c:v>2965.7463238208552</c:v>
                </c:pt>
                <c:pt idx="79">
                  <c:v>3010.1826411790926</c:v>
                </c:pt>
                <c:pt idx="80">
                  <c:v>2965.7463238208552</c:v>
                </c:pt>
                <c:pt idx="81">
                  <c:v>2995.3705353930131</c:v>
                </c:pt>
                <c:pt idx="82">
                  <c:v>3025.9016105847272</c:v>
                </c:pt>
                <c:pt idx="83">
                  <c:v>3025.9016105847272</c:v>
                </c:pt>
                <c:pt idx="84">
                  <c:v>3025.9016105847272</c:v>
                </c:pt>
                <c:pt idx="85">
                  <c:v>3143.7938811269892</c:v>
                </c:pt>
                <c:pt idx="86">
                  <c:v>3098.4507001491961</c:v>
                </c:pt>
                <c:pt idx="87">
                  <c:v>3143.7938811269892</c:v>
                </c:pt>
                <c:pt idx="88">
                  <c:v>3189.1370621047822</c:v>
                </c:pt>
                <c:pt idx="89">
                  <c:v>3158.9082747862535</c:v>
                </c:pt>
                <c:pt idx="90">
                  <c:v>3143.7938811269892</c:v>
                </c:pt>
                <c:pt idx="91">
                  <c:v>3216.342970691458</c:v>
                </c:pt>
                <c:pt idx="92">
                  <c:v>3261.6861516692516</c:v>
                </c:pt>
                <c:pt idx="93">
                  <c:v>3246.5717580099872</c:v>
                </c:pt>
                <c:pt idx="94">
                  <c:v>3307.0293326470446</c:v>
                </c:pt>
                <c:pt idx="95">
                  <c:v>3307.0293326470446</c:v>
                </c:pt>
                <c:pt idx="96">
                  <c:v>3352.3725136248377</c:v>
                </c:pt>
                <c:pt idx="97">
                  <c:v>3394.6928158707778</c:v>
                </c:pt>
                <c:pt idx="98">
                  <c:v>3367.486907284102</c:v>
                </c:pt>
                <c:pt idx="99">
                  <c:v>3424.9216031893066</c:v>
                </c:pt>
                <c:pt idx="100">
                  <c:v>3394.6928158707778</c:v>
                </c:pt>
                <c:pt idx="101">
                  <c:v>3485.3791778263644</c:v>
                </c:pt>
                <c:pt idx="102">
                  <c:v>3470.2647841671001</c:v>
                </c:pt>
                <c:pt idx="103">
                  <c:v>3500.4935714856288</c:v>
                </c:pt>
                <c:pt idx="104">
                  <c:v>3573.0426610500976</c:v>
                </c:pt>
                <c:pt idx="105">
                  <c:v>3515.6079651448931</c:v>
                </c:pt>
                <c:pt idx="106">
                  <c:v>3588.157054709362</c:v>
                </c:pt>
                <c:pt idx="107">
                  <c:v>3603.2714483686264</c:v>
                </c:pt>
                <c:pt idx="108">
                  <c:v>3603.2714483686264</c:v>
                </c:pt>
                <c:pt idx="109">
                  <c:v>3603.2714483686264</c:v>
                </c:pt>
                <c:pt idx="110">
                  <c:v>3690.9349315923596</c:v>
                </c:pt>
                <c:pt idx="111">
                  <c:v>3721.1637189108883</c:v>
                </c:pt>
                <c:pt idx="112">
                  <c:v>3736.2781125701526</c:v>
                </c:pt>
                <c:pt idx="113">
                  <c:v>3751.3925062294174</c:v>
                </c:pt>
                <c:pt idx="114">
                  <c:v>3706.0493252516239</c:v>
                </c:pt>
                <c:pt idx="115">
                  <c:v>3766.5068998886818</c:v>
                </c:pt>
                <c:pt idx="116">
                  <c:v>3766.5068998886818</c:v>
                </c:pt>
                <c:pt idx="117">
                  <c:v>3839.0559894531507</c:v>
                </c:pt>
                <c:pt idx="118">
                  <c:v>3839.0559894531507</c:v>
                </c:pt>
                <c:pt idx="119">
                  <c:v>3914.6279577494724</c:v>
                </c:pt>
                <c:pt idx="120">
                  <c:v>3959.9711387272655</c:v>
                </c:pt>
                <c:pt idx="121">
                  <c:v>3959.9711387272655</c:v>
                </c:pt>
                <c:pt idx="122">
                  <c:v>3929.7423514087368</c:v>
                </c:pt>
                <c:pt idx="123">
                  <c:v>4017.40583463247</c:v>
                </c:pt>
                <c:pt idx="124">
                  <c:v>4002.2914409732057</c:v>
                </c:pt>
                <c:pt idx="125">
                  <c:v>4047.6346219509987</c:v>
                </c:pt>
                <c:pt idx="126">
                  <c:v>4032.5202282917344</c:v>
                </c:pt>
                <c:pt idx="127">
                  <c:v>4092.9778029287918</c:v>
                </c:pt>
                <c:pt idx="128">
                  <c:v>4123.2065902473205</c:v>
                </c:pt>
                <c:pt idx="129">
                  <c:v>4138.3209839065848</c:v>
                </c:pt>
                <c:pt idx="130">
                  <c:v>4165.5268924932616</c:v>
                </c:pt>
                <c:pt idx="131">
                  <c:v>4195.7556798117903</c:v>
                </c:pt>
                <c:pt idx="132">
                  <c:v>4195.7556798117903</c:v>
                </c:pt>
                <c:pt idx="133">
                  <c:v>4256.2132544488477</c:v>
                </c:pt>
                <c:pt idx="134">
                  <c:v>4271.327648108112</c:v>
                </c:pt>
                <c:pt idx="135">
                  <c:v>4286.4420417673764</c:v>
                </c:pt>
                <c:pt idx="136">
                  <c:v>4313.6479503540513</c:v>
                </c:pt>
                <c:pt idx="137">
                  <c:v>4286.4420417673764</c:v>
                </c:pt>
                <c:pt idx="138">
                  <c:v>4328.7623440133157</c:v>
                </c:pt>
                <c:pt idx="139">
                  <c:v>4404.3343123096383</c:v>
                </c:pt>
                <c:pt idx="140">
                  <c:v>4374.1055249911096</c:v>
                </c:pt>
                <c:pt idx="141">
                  <c:v>4449.6774932874314</c:v>
                </c:pt>
                <c:pt idx="142">
                  <c:v>4464.7918869466957</c:v>
                </c:pt>
                <c:pt idx="143">
                  <c:v>4491.9977955333716</c:v>
                </c:pt>
                <c:pt idx="144">
                  <c:v>4537.3409765111646</c:v>
                </c:pt>
                <c:pt idx="145">
                  <c:v>4552.455370170429</c:v>
                </c:pt>
                <c:pt idx="146">
                  <c:v>4552.455370170429</c:v>
                </c:pt>
                <c:pt idx="147">
                  <c:v>4582.6841574889577</c:v>
                </c:pt>
                <c:pt idx="148">
                  <c:v>4597.798551148222</c:v>
                </c:pt>
                <c:pt idx="149">
                  <c:v>4625.0044597348979</c:v>
                </c:pt>
                <c:pt idx="150">
                  <c:v>4640.1188533941622</c:v>
                </c:pt>
                <c:pt idx="151">
                  <c:v>4700.5764280312196</c:v>
                </c:pt>
                <c:pt idx="152">
                  <c:v>4715.690821690484</c:v>
                </c:pt>
                <c:pt idx="153">
                  <c:v>4700.5764280312196</c:v>
                </c:pt>
                <c:pt idx="154">
                  <c:v>4761.034002668277</c:v>
                </c:pt>
                <c:pt idx="155">
                  <c:v>4776.1483963275414</c:v>
                </c:pt>
                <c:pt idx="156">
                  <c:v>4788.2399112549538</c:v>
                </c:pt>
                <c:pt idx="157">
                  <c:v>4833.5830922327459</c:v>
                </c:pt>
                <c:pt idx="158">
                  <c:v>4909.1550605290677</c:v>
                </c:pt>
                <c:pt idx="159">
                  <c:v>4863.8118795512746</c:v>
                </c:pt>
                <c:pt idx="160">
                  <c:v>4936.3609691157444</c:v>
                </c:pt>
                <c:pt idx="161">
                  <c:v>4951.4753627750088</c:v>
                </c:pt>
                <c:pt idx="162">
                  <c:v>4966.5897564342731</c:v>
                </c:pt>
                <c:pt idx="163">
                  <c:v>4981.7041500935375</c:v>
                </c:pt>
              </c:numCache>
            </c:numRef>
          </c:yVal>
          <c:smooth val="1"/>
          <c:extLst>
            <c:ext xmlns:c16="http://schemas.microsoft.com/office/drawing/2014/chart" uri="{C3380CC4-5D6E-409C-BE32-E72D297353CC}">
              <c16:uniqueId val="{00000001-A41E-42C8-8FCC-1585F30B5955}"/>
            </c:ext>
          </c:extLst>
        </c:ser>
        <c:dLbls>
          <c:showLegendKey val="0"/>
          <c:showVal val="0"/>
          <c:showCatName val="0"/>
          <c:showSerName val="0"/>
          <c:showPercent val="0"/>
          <c:showBubbleSize val="0"/>
        </c:dLbls>
        <c:axId val="1356673856"/>
        <c:axId val="1356679616"/>
      </c:scatterChart>
      <c:valAx>
        <c:axId val="1356673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Strain</a:t>
                </a:r>
                <a:r>
                  <a:rPr lang="fr-FR" baseline="0"/>
                  <a:t> (non dimension)</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6679616"/>
        <c:crosses val="autoZero"/>
        <c:crossBetween val="midCat"/>
      </c:valAx>
      <c:valAx>
        <c:axId val="135667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Stress</a:t>
                </a:r>
                <a:r>
                  <a:rPr lang="fr-FR" baseline="0"/>
                  <a:t> (MPa)</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6673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510886</xdr:colOff>
      <xdr:row>6</xdr:row>
      <xdr:rowOff>12701</xdr:rowOff>
    </xdr:from>
    <xdr:to>
      <xdr:col>15</xdr:col>
      <xdr:colOff>205220</xdr:colOff>
      <xdr:row>20</xdr:row>
      <xdr:rowOff>175491</xdr:rowOff>
    </xdr:to>
    <xdr:graphicFrame macro="">
      <xdr:nvGraphicFramePr>
        <xdr:cNvPr id="2" name="Chart 1">
          <a:extLst>
            <a:ext uri="{FF2B5EF4-FFF2-40B4-BE49-F238E27FC236}">
              <a16:creationId xmlns:a16="http://schemas.microsoft.com/office/drawing/2014/main" id="{94398D76-F365-8956-62C4-66E5659A2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6034</xdr:colOff>
      <xdr:row>22</xdr:row>
      <xdr:rowOff>181135</xdr:rowOff>
    </xdr:from>
    <xdr:to>
      <xdr:col>15</xdr:col>
      <xdr:colOff>309203</xdr:colOff>
      <xdr:row>37</xdr:row>
      <xdr:rowOff>161708</xdr:rowOff>
    </xdr:to>
    <xdr:graphicFrame macro="">
      <xdr:nvGraphicFramePr>
        <xdr:cNvPr id="3" name="Chart 1">
          <a:extLst>
            <a:ext uri="{FF2B5EF4-FFF2-40B4-BE49-F238E27FC236}">
              <a16:creationId xmlns:a16="http://schemas.microsoft.com/office/drawing/2014/main" id="{509150F2-EB02-4872-A024-73DFBF8E3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opLeftCell="A28" workbookViewId="0">
      <selection activeCell="B36" sqref="B36:C36"/>
    </sheetView>
  </sheetViews>
  <sheetFormatPr baseColWidth="10" defaultColWidth="8.88671875" defaultRowHeight="14.4" x14ac:dyDescent="0.3"/>
  <cols>
    <col min="1" max="1" width="10.109375" bestFit="1" customWidth="1"/>
    <col min="2" max="3" width="35.6640625" customWidth="1"/>
  </cols>
  <sheetData>
    <row r="1" spans="1:3" ht="19.95" customHeight="1" x14ac:dyDescent="0.3">
      <c r="A1" s="42" t="s">
        <v>0</v>
      </c>
      <c r="B1" s="42"/>
      <c r="C1" s="42"/>
    </row>
    <row r="3" spans="1:3" x14ac:dyDescent="0.3">
      <c r="A3" s="2" t="s">
        <v>1</v>
      </c>
      <c r="B3" s="1" t="s">
        <v>2</v>
      </c>
    </row>
    <row r="4" spans="1:3" x14ac:dyDescent="0.3">
      <c r="A4" s="2" t="s">
        <v>3</v>
      </c>
      <c r="B4" s="1" t="s">
        <v>4</v>
      </c>
    </row>
    <row r="6" spans="1:3" ht="30" customHeight="1" x14ac:dyDescent="0.3">
      <c r="A6" s="4" t="s">
        <v>5</v>
      </c>
      <c r="B6" s="4" t="s">
        <v>8</v>
      </c>
      <c r="C6" s="4" t="s">
        <v>7</v>
      </c>
    </row>
    <row r="7" spans="1:3" x14ac:dyDescent="0.3">
      <c r="A7" s="41" t="s">
        <v>6</v>
      </c>
      <c r="B7" s="6">
        <v>13</v>
      </c>
      <c r="C7" s="6">
        <v>12.4</v>
      </c>
    </row>
    <row r="8" spans="1:3" x14ac:dyDescent="0.3">
      <c r="A8" s="41"/>
      <c r="B8" s="6">
        <v>12.4</v>
      </c>
      <c r="C8" s="6">
        <v>12.4</v>
      </c>
    </row>
    <row r="9" spans="1:3" x14ac:dyDescent="0.3">
      <c r="A9" s="41"/>
      <c r="B9" s="6">
        <v>12.2</v>
      </c>
      <c r="C9" s="6">
        <v>11.9</v>
      </c>
    </row>
    <row r="10" spans="1:3" x14ac:dyDescent="0.3">
      <c r="A10" s="41"/>
      <c r="B10" s="6">
        <v>12.4</v>
      </c>
      <c r="C10" s="6"/>
    </row>
    <row r="11" spans="1:3" x14ac:dyDescent="0.3">
      <c r="A11" s="41"/>
      <c r="B11" s="6"/>
      <c r="C11" s="6"/>
    </row>
    <row r="12" spans="1:3" x14ac:dyDescent="0.3">
      <c r="A12" s="41"/>
      <c r="B12" s="7" t="s">
        <v>9</v>
      </c>
      <c r="C12" s="7" t="s">
        <v>9</v>
      </c>
    </row>
    <row r="13" spans="1:3" s="8" customFormat="1" ht="19.95" customHeight="1" x14ac:dyDescent="0.3">
      <c r="A13" s="41"/>
      <c r="B13" s="7">
        <f xml:space="preserve"> AVERAGEA(B7:B10)</f>
        <v>12.499999999999998</v>
      </c>
      <c r="C13" s="7">
        <f xml:space="preserve"> AVERAGEA(C7:C10)</f>
        <v>12.233333333333334</v>
      </c>
    </row>
    <row r="14" spans="1:3" x14ac:dyDescent="0.3">
      <c r="A14" s="41" t="s">
        <v>10</v>
      </c>
      <c r="B14" s="6">
        <v>12.1</v>
      </c>
      <c r="C14" s="6">
        <v>12</v>
      </c>
    </row>
    <row r="15" spans="1:3" x14ac:dyDescent="0.3">
      <c r="A15" s="41"/>
      <c r="B15" s="6">
        <v>12.6</v>
      </c>
      <c r="C15" s="6">
        <v>12.3</v>
      </c>
    </row>
    <row r="16" spans="1:3" x14ac:dyDescent="0.3">
      <c r="A16" s="41"/>
      <c r="B16" s="6">
        <v>11.2</v>
      </c>
      <c r="C16" s="6">
        <v>11.5</v>
      </c>
    </row>
    <row r="17" spans="1:3" x14ac:dyDescent="0.3">
      <c r="A17" s="41"/>
      <c r="B17" s="6">
        <v>10.9</v>
      </c>
      <c r="C17" s="6"/>
    </row>
    <row r="18" spans="1:3" x14ac:dyDescent="0.3">
      <c r="A18" s="41"/>
      <c r="B18" s="6"/>
      <c r="C18" s="6"/>
    </row>
    <row r="19" spans="1:3" x14ac:dyDescent="0.3">
      <c r="A19" s="41"/>
      <c r="B19" s="7" t="s">
        <v>9</v>
      </c>
      <c r="C19" s="7" t="s">
        <v>9</v>
      </c>
    </row>
    <row r="20" spans="1:3" s="8" customFormat="1" ht="19.95" customHeight="1" x14ac:dyDescent="0.3">
      <c r="A20" s="41"/>
      <c r="B20" s="7">
        <f xml:space="preserve"> AVERAGEA(B14:B17)</f>
        <v>11.7</v>
      </c>
      <c r="C20" s="7">
        <f xml:space="preserve"> AVERAGEA(C14:C17)</f>
        <v>11.933333333333332</v>
      </c>
    </row>
    <row r="21" spans="1:3" x14ac:dyDescent="0.3">
      <c r="A21" s="41" t="s">
        <v>68</v>
      </c>
      <c r="B21" s="6">
        <v>12.7</v>
      </c>
      <c r="C21" s="6">
        <v>12.5</v>
      </c>
    </row>
    <row r="22" spans="1:3" x14ac:dyDescent="0.3">
      <c r="A22" s="41"/>
      <c r="B22" s="6">
        <v>12.9</v>
      </c>
      <c r="C22" s="6">
        <v>12</v>
      </c>
    </row>
    <row r="23" spans="1:3" x14ac:dyDescent="0.3">
      <c r="A23" s="41"/>
      <c r="B23" s="6">
        <v>13</v>
      </c>
      <c r="C23" s="6">
        <v>12.1</v>
      </c>
    </row>
    <row r="24" spans="1:3" x14ac:dyDescent="0.3">
      <c r="A24" s="41"/>
      <c r="B24" s="6">
        <v>13.1</v>
      </c>
      <c r="C24" s="6"/>
    </row>
    <row r="25" spans="1:3" x14ac:dyDescent="0.3">
      <c r="A25" s="41"/>
      <c r="B25" s="6"/>
      <c r="C25" s="6"/>
    </row>
    <row r="26" spans="1:3" x14ac:dyDescent="0.3">
      <c r="A26" s="41"/>
      <c r="B26" s="7" t="s">
        <v>9</v>
      </c>
      <c r="C26" s="7" t="s">
        <v>9</v>
      </c>
    </row>
    <row r="27" spans="1:3" s="8" customFormat="1" ht="19.95" customHeight="1" x14ac:dyDescent="0.3">
      <c r="A27" s="41"/>
      <c r="B27" s="7">
        <f xml:space="preserve"> AVERAGEA(B21:B24)</f>
        <v>12.925000000000001</v>
      </c>
      <c r="C27" s="7">
        <f xml:space="preserve"> AVERAGEA(C21:C24)</f>
        <v>12.200000000000001</v>
      </c>
    </row>
    <row r="29" spans="1:3" x14ac:dyDescent="0.3">
      <c r="A29" t="s">
        <v>11</v>
      </c>
      <c r="B29" s="40" t="s">
        <v>12</v>
      </c>
      <c r="C29" s="40"/>
    </row>
    <row r="30" spans="1:3" ht="60" customHeight="1" x14ac:dyDescent="0.3">
      <c r="B30" s="40" t="s">
        <v>77</v>
      </c>
      <c r="C30" s="40"/>
    </row>
    <row r="31" spans="1:3" ht="28.95" customHeight="1" x14ac:dyDescent="0.3">
      <c r="A31" s="10" t="s">
        <v>13</v>
      </c>
      <c r="B31" s="43" t="s">
        <v>14</v>
      </c>
      <c r="C31" s="43"/>
    </row>
    <row r="32" spans="1:3" ht="60" customHeight="1" x14ac:dyDescent="0.3">
      <c r="B32" s="40" t="s">
        <v>78</v>
      </c>
      <c r="C32" s="40"/>
    </row>
    <row r="33" spans="1:3" x14ac:dyDescent="0.3">
      <c r="A33" t="s">
        <v>15</v>
      </c>
      <c r="B33" s="40" t="s">
        <v>16</v>
      </c>
      <c r="C33" s="40"/>
    </row>
    <row r="34" spans="1:3" ht="60" customHeight="1" x14ac:dyDescent="0.3">
      <c r="B34" s="43" t="s">
        <v>79</v>
      </c>
      <c r="C34" s="43"/>
    </row>
    <row r="35" spans="1:3" x14ac:dyDescent="0.3">
      <c r="A35" t="s">
        <v>18</v>
      </c>
      <c r="B35" s="40" t="s">
        <v>17</v>
      </c>
      <c r="C35" s="40"/>
    </row>
    <row r="36" spans="1:3" ht="60" customHeight="1" x14ac:dyDescent="0.3">
      <c r="B36" s="43" t="s">
        <v>80</v>
      </c>
      <c r="C36" s="43"/>
    </row>
  </sheetData>
  <mergeCells count="12">
    <mergeCell ref="B36:C36"/>
    <mergeCell ref="A14:A20"/>
    <mergeCell ref="A1:C1"/>
    <mergeCell ref="B29:C29"/>
    <mergeCell ref="B31:C31"/>
    <mergeCell ref="B33:C33"/>
    <mergeCell ref="B35:C35"/>
    <mergeCell ref="A7:A13"/>
    <mergeCell ref="B30:C30"/>
    <mergeCell ref="B32:C32"/>
    <mergeCell ref="B34:C34"/>
    <mergeCell ref="A21:A2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FB40-2F1B-4E8D-9DBB-8584F68FFADD}">
  <dimension ref="A1:C12"/>
  <sheetViews>
    <sheetView zoomScale="103" workbookViewId="0">
      <selection activeCell="B9" sqref="B9:C9"/>
    </sheetView>
  </sheetViews>
  <sheetFormatPr baseColWidth="10" defaultColWidth="8.88671875" defaultRowHeight="14.4" x14ac:dyDescent="0.3"/>
  <cols>
    <col min="1" max="1" width="10.109375" bestFit="1" customWidth="1"/>
    <col min="2" max="3" width="35.6640625" customWidth="1"/>
  </cols>
  <sheetData>
    <row r="1" spans="1:3" ht="19.95" customHeight="1" x14ac:dyDescent="0.3">
      <c r="A1" s="42" t="s">
        <v>19</v>
      </c>
      <c r="B1" s="42"/>
      <c r="C1" s="42"/>
    </row>
    <row r="3" spans="1:3" x14ac:dyDescent="0.3">
      <c r="A3" s="2" t="s">
        <v>1</v>
      </c>
      <c r="B3" s="1" t="s">
        <v>57</v>
      </c>
    </row>
    <row r="4" spans="1:3" x14ac:dyDescent="0.3">
      <c r="A4" s="2" t="s">
        <v>3</v>
      </c>
      <c r="B4" s="1" t="s">
        <v>20</v>
      </c>
    </row>
    <row r="6" spans="1:3" x14ac:dyDescent="0.3">
      <c r="A6" t="s">
        <v>29</v>
      </c>
      <c r="B6" s="40" t="s">
        <v>30</v>
      </c>
      <c r="C6" s="40"/>
    </row>
    <row r="7" spans="1:3" x14ac:dyDescent="0.3">
      <c r="A7" t="s">
        <v>31</v>
      </c>
      <c r="B7" s="40" t="s">
        <v>32</v>
      </c>
      <c r="C7" s="40"/>
    </row>
    <row r="8" spans="1:3" x14ac:dyDescent="0.3">
      <c r="A8" t="s">
        <v>36</v>
      </c>
      <c r="B8" s="40" t="s">
        <v>37</v>
      </c>
      <c r="C8" s="40"/>
    </row>
    <row r="9" spans="1:3" x14ac:dyDescent="0.3">
      <c r="A9" t="s">
        <v>18</v>
      </c>
      <c r="B9" s="40" t="s">
        <v>76</v>
      </c>
      <c r="C9" s="40"/>
    </row>
    <row r="10" spans="1:3" x14ac:dyDescent="0.3">
      <c r="B10" s="9"/>
      <c r="C10" s="9"/>
    </row>
    <row r="11" spans="1:3" x14ac:dyDescent="0.3">
      <c r="A11" t="s">
        <v>38</v>
      </c>
      <c r="B11" s="40" t="s">
        <v>39</v>
      </c>
      <c r="C11" s="40"/>
    </row>
    <row r="12" spans="1:3" ht="60" customHeight="1" x14ac:dyDescent="0.3">
      <c r="B12" s="40"/>
      <c r="C12" s="40"/>
    </row>
  </sheetData>
  <mergeCells count="7">
    <mergeCell ref="B7:C7"/>
    <mergeCell ref="B8:C8"/>
    <mergeCell ref="B9:C9"/>
    <mergeCell ref="B12:C12"/>
    <mergeCell ref="A1:C1"/>
    <mergeCell ref="B6:C6"/>
    <mergeCell ref="B11:C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1904-9F2A-4CF8-84DA-788EE14346B8}">
  <dimension ref="A1:J281"/>
  <sheetViews>
    <sheetView topLeftCell="D7" zoomScale="93" workbookViewId="0">
      <selection activeCell="J3" sqref="J3"/>
    </sheetView>
  </sheetViews>
  <sheetFormatPr baseColWidth="10" defaultColWidth="8.88671875" defaultRowHeight="14.4" x14ac:dyDescent="0.3"/>
  <cols>
    <col min="1" max="1" width="8.88671875" style="13" bestFit="1"/>
    <col min="2" max="3" width="8.88671875" style="14" bestFit="1"/>
    <col min="4" max="4" width="12.21875" style="14" bestFit="1" customWidth="1"/>
    <col min="5" max="5" width="12.109375" style="14" bestFit="1" customWidth="1"/>
    <col min="6" max="6" width="8.88671875" style="14" bestFit="1"/>
    <col min="9" max="9" width="13.88671875" bestFit="1" customWidth="1"/>
    <col min="10" max="10" width="11.109375" bestFit="1" customWidth="1"/>
  </cols>
  <sheetData>
    <row r="1" spans="1:10" x14ac:dyDescent="0.3">
      <c r="A1" s="11" t="s">
        <v>21</v>
      </c>
      <c r="B1" s="11" t="s">
        <v>22</v>
      </c>
      <c r="C1" s="11" t="s">
        <v>23</v>
      </c>
      <c r="D1" s="11" t="s">
        <v>28</v>
      </c>
      <c r="E1" s="16" t="s">
        <v>33</v>
      </c>
      <c r="F1" s="16" t="s">
        <v>27</v>
      </c>
      <c r="I1" s="44" t="s">
        <v>24</v>
      </c>
      <c r="J1" s="44"/>
    </row>
    <row r="2" spans="1:10" x14ac:dyDescent="0.3">
      <c r="A2" s="12"/>
      <c r="B2" s="12" t="s">
        <v>25</v>
      </c>
      <c r="C2" s="12" t="s">
        <v>26</v>
      </c>
      <c r="D2" s="12" t="s">
        <v>26</v>
      </c>
      <c r="E2" s="17" t="s">
        <v>34</v>
      </c>
      <c r="F2" s="17"/>
      <c r="I2" s="22" t="s">
        <v>48</v>
      </c>
      <c r="J2" s="6">
        <v>6.49</v>
      </c>
    </row>
    <row r="3" spans="1:10" x14ac:dyDescent="0.3">
      <c r="A3" s="13">
        <v>1</v>
      </c>
      <c r="B3" s="14">
        <v>0</v>
      </c>
      <c r="C3" s="14">
        <v>20027</v>
      </c>
      <c r="D3" s="14">
        <f>C3-$C$3</f>
        <v>0</v>
      </c>
      <c r="E3" s="14">
        <f>B3/$J$5</f>
        <v>0</v>
      </c>
      <c r="F3" s="14">
        <f>D3/$C$3</f>
        <v>0</v>
      </c>
      <c r="I3" s="20" t="s">
        <v>49</v>
      </c>
      <c r="J3" s="6">
        <f>J2*10^(-3)</f>
        <v>6.4900000000000001E-3</v>
      </c>
    </row>
    <row r="4" spans="1:10" x14ac:dyDescent="0.3">
      <c r="A4" s="13">
        <v>2</v>
      </c>
      <c r="B4" s="14">
        <v>4.9050000000000005E-4</v>
      </c>
      <c r="C4" s="14">
        <v>20029</v>
      </c>
      <c r="D4" s="14">
        <f t="shared" ref="D4:D67" si="0">C4-$C$3</f>
        <v>2</v>
      </c>
      <c r="E4" s="14">
        <f>B4/$J$5</f>
        <v>14.827220179738351</v>
      </c>
      <c r="F4" s="14">
        <f t="shared" ref="F4:F67" si="1">D4/$C$3</f>
        <v>9.9865182004294198E-5</v>
      </c>
      <c r="I4" s="1"/>
    </row>
    <row r="5" spans="1:10" x14ac:dyDescent="0.3">
      <c r="A5" s="13">
        <v>3</v>
      </c>
      <c r="B5" s="14">
        <v>1.472E-3</v>
      </c>
      <c r="C5" s="14">
        <v>20030</v>
      </c>
      <c r="D5" s="14">
        <f t="shared" si="0"/>
        <v>3</v>
      </c>
      <c r="E5" s="14">
        <f t="shared" ref="E5:E68" si="2">B5/$J$5</f>
        <v>44.49677493287431</v>
      </c>
      <c r="F5" s="14">
        <f t="shared" si="1"/>
        <v>1.4979777300644132E-4</v>
      </c>
      <c r="I5" s="18" t="s">
        <v>50</v>
      </c>
      <c r="J5">
        <f>(PI()*J3^2)/4</f>
        <v>3.3081049182116866E-5</v>
      </c>
    </row>
    <row r="6" spans="1:10" x14ac:dyDescent="0.3">
      <c r="A6" s="13">
        <v>4</v>
      </c>
      <c r="B6" s="14">
        <v>3.434E-3</v>
      </c>
      <c r="C6" s="14">
        <v>20032</v>
      </c>
      <c r="D6" s="14">
        <f t="shared" si="0"/>
        <v>5</v>
      </c>
      <c r="E6" s="14">
        <f t="shared" si="2"/>
        <v>103.80565565182771</v>
      </c>
      <c r="F6" s="14">
        <f t="shared" si="1"/>
        <v>2.4966295501073553E-4</v>
      </c>
    </row>
    <row r="7" spans="1:10" x14ac:dyDescent="0.3">
      <c r="A7" s="13">
        <v>5</v>
      </c>
      <c r="B7" s="14">
        <v>2.4529999999999999E-3</v>
      </c>
      <c r="C7" s="14">
        <v>20033</v>
      </c>
      <c r="D7" s="14">
        <f t="shared" si="0"/>
        <v>6</v>
      </c>
      <c r="E7" s="14">
        <f t="shared" si="2"/>
        <v>74.151215292351011</v>
      </c>
      <c r="F7" s="14">
        <f t="shared" si="1"/>
        <v>2.9959554601288263E-4</v>
      </c>
    </row>
    <row r="8" spans="1:10" x14ac:dyDescent="0.3">
      <c r="A8" s="13">
        <v>6</v>
      </c>
      <c r="B8" s="14">
        <v>1.9620000000000002E-3</v>
      </c>
      <c r="C8" s="14">
        <v>20035</v>
      </c>
      <c r="D8" s="14">
        <f t="shared" si="0"/>
        <v>8</v>
      </c>
      <c r="E8" s="14">
        <f t="shared" si="2"/>
        <v>59.308880718953404</v>
      </c>
      <c r="F8" s="14">
        <f t="shared" si="1"/>
        <v>3.9946072801717679E-4</v>
      </c>
    </row>
    <row r="9" spans="1:10" x14ac:dyDescent="0.3">
      <c r="A9" s="13">
        <v>7</v>
      </c>
      <c r="B9" s="14">
        <v>2.9429999999999999E-3</v>
      </c>
      <c r="C9" s="14">
        <v>20036</v>
      </c>
      <c r="D9" s="14">
        <f t="shared" si="0"/>
        <v>9</v>
      </c>
      <c r="E9" s="14">
        <f t="shared" si="2"/>
        <v>88.963321078430084</v>
      </c>
      <c r="F9" s="14">
        <f t="shared" si="1"/>
        <v>4.493933190193239E-4</v>
      </c>
    </row>
    <row r="10" spans="1:10" x14ac:dyDescent="0.3">
      <c r="A10" s="13">
        <v>8</v>
      </c>
      <c r="B10" s="14">
        <v>3.9240000000000004E-3</v>
      </c>
      <c r="C10" s="14">
        <v>20037</v>
      </c>
      <c r="D10" s="14">
        <f t="shared" si="0"/>
        <v>10</v>
      </c>
      <c r="E10" s="14">
        <f t="shared" si="2"/>
        <v>118.61776143790681</v>
      </c>
      <c r="F10" s="14">
        <f t="shared" si="1"/>
        <v>4.9932591002147106E-4</v>
      </c>
    </row>
    <row r="11" spans="1:10" x14ac:dyDescent="0.3">
      <c r="A11" s="13">
        <v>9</v>
      </c>
      <c r="B11" s="14">
        <v>2.9429999999999999E-3</v>
      </c>
      <c r="C11" s="14">
        <v>20039</v>
      </c>
      <c r="D11" s="14">
        <f t="shared" si="0"/>
        <v>12</v>
      </c>
      <c r="E11" s="14">
        <f t="shared" si="2"/>
        <v>88.963321078430084</v>
      </c>
      <c r="F11" s="14">
        <f t="shared" si="1"/>
        <v>5.9919109202576527E-4</v>
      </c>
    </row>
    <row r="12" spans="1:10" x14ac:dyDescent="0.3">
      <c r="A12" s="13">
        <v>10</v>
      </c>
      <c r="B12" s="14">
        <v>3.434E-3</v>
      </c>
      <c r="C12" s="14">
        <v>20041</v>
      </c>
      <c r="D12" s="14">
        <f t="shared" si="0"/>
        <v>14</v>
      </c>
      <c r="E12" s="14">
        <f t="shared" si="2"/>
        <v>103.80565565182771</v>
      </c>
      <c r="F12" s="14">
        <f t="shared" si="1"/>
        <v>6.9905627403005937E-4</v>
      </c>
    </row>
    <row r="13" spans="1:10" x14ac:dyDescent="0.3">
      <c r="A13" s="13">
        <v>11</v>
      </c>
      <c r="B13" s="14">
        <v>3.434E-3</v>
      </c>
      <c r="C13" s="14">
        <v>20042</v>
      </c>
      <c r="D13" s="14">
        <f t="shared" si="0"/>
        <v>15</v>
      </c>
      <c r="E13" s="14">
        <f t="shared" si="2"/>
        <v>103.80565565182771</v>
      </c>
      <c r="F13" s="14">
        <f t="shared" si="1"/>
        <v>7.4898886503220647E-4</v>
      </c>
    </row>
    <row r="14" spans="1:10" x14ac:dyDescent="0.3">
      <c r="A14" s="13">
        <v>12</v>
      </c>
      <c r="B14" s="14">
        <v>5.3959999999999998E-3</v>
      </c>
      <c r="C14" s="14">
        <v>20043</v>
      </c>
      <c r="D14" s="14">
        <f t="shared" si="0"/>
        <v>16</v>
      </c>
      <c r="E14" s="14">
        <f t="shared" si="2"/>
        <v>163.11453637078111</v>
      </c>
      <c r="F14" s="14">
        <f t="shared" si="1"/>
        <v>7.9892145603435358E-4</v>
      </c>
    </row>
    <row r="15" spans="1:10" x14ac:dyDescent="0.3">
      <c r="A15" s="13">
        <v>13</v>
      </c>
      <c r="B15" s="14">
        <v>6.8669999999999998E-3</v>
      </c>
      <c r="C15" s="14">
        <v>20045</v>
      </c>
      <c r="D15" s="14">
        <f t="shared" si="0"/>
        <v>18</v>
      </c>
      <c r="E15" s="14">
        <f t="shared" si="2"/>
        <v>207.58108251633689</v>
      </c>
      <c r="F15" s="14">
        <f t="shared" si="1"/>
        <v>8.9878663803864779E-4</v>
      </c>
    </row>
    <row r="16" spans="1:10" x14ac:dyDescent="0.3">
      <c r="A16" s="13">
        <v>14</v>
      </c>
      <c r="B16" s="14">
        <v>5.8859999999999997E-3</v>
      </c>
      <c r="C16" s="14">
        <v>20046</v>
      </c>
      <c r="D16" s="14">
        <f t="shared" si="0"/>
        <v>19</v>
      </c>
      <c r="E16" s="14">
        <f t="shared" si="2"/>
        <v>177.92664215686017</v>
      </c>
      <c r="F16" s="14">
        <f t="shared" si="1"/>
        <v>9.487192290407949E-4</v>
      </c>
    </row>
    <row r="17" spans="1:9" x14ac:dyDescent="0.3">
      <c r="A17" s="13">
        <v>15</v>
      </c>
      <c r="B17" s="14">
        <v>4.9049999999999996E-3</v>
      </c>
      <c r="C17" s="14">
        <v>20048</v>
      </c>
      <c r="D17" s="14">
        <f t="shared" si="0"/>
        <v>21</v>
      </c>
      <c r="E17" s="14">
        <f t="shared" si="2"/>
        <v>148.27220179738347</v>
      </c>
      <c r="F17" s="14">
        <f t="shared" si="1"/>
        <v>1.0485844110450892E-3</v>
      </c>
    </row>
    <row r="18" spans="1:9" x14ac:dyDescent="0.3">
      <c r="A18" s="13">
        <v>16</v>
      </c>
      <c r="B18" s="14">
        <v>6.3769999999999999E-3</v>
      </c>
      <c r="C18" s="14">
        <v>20049</v>
      </c>
      <c r="D18" s="14">
        <f t="shared" si="0"/>
        <v>22</v>
      </c>
      <c r="E18" s="14">
        <f t="shared" si="2"/>
        <v>192.7689767302578</v>
      </c>
      <c r="F18" s="14">
        <f t="shared" si="1"/>
        <v>1.0985170020472363E-3</v>
      </c>
    </row>
    <row r="19" spans="1:9" x14ac:dyDescent="0.3">
      <c r="A19" s="13">
        <v>17</v>
      </c>
      <c r="B19" s="14">
        <v>4.4149999999999997E-3</v>
      </c>
      <c r="C19" s="14">
        <v>20051</v>
      </c>
      <c r="D19" s="14">
        <f t="shared" si="0"/>
        <v>24</v>
      </c>
      <c r="E19" s="14">
        <f t="shared" si="2"/>
        <v>133.46009601130439</v>
      </c>
      <c r="F19" s="14">
        <f t="shared" si="1"/>
        <v>1.1983821840515305E-3</v>
      </c>
    </row>
    <row r="20" spans="1:9" x14ac:dyDescent="0.3">
      <c r="A20" s="13">
        <v>18</v>
      </c>
      <c r="B20" s="14">
        <v>4.9049999999999996E-3</v>
      </c>
      <c r="C20" s="14">
        <v>20052</v>
      </c>
      <c r="D20" s="14">
        <f t="shared" si="0"/>
        <v>25</v>
      </c>
      <c r="E20" s="14">
        <f t="shared" si="2"/>
        <v>148.27220179738347</v>
      </c>
      <c r="F20" s="14">
        <f t="shared" si="1"/>
        <v>1.2483147750536776E-3</v>
      </c>
    </row>
    <row r="21" spans="1:9" x14ac:dyDescent="0.3">
      <c r="A21" s="13">
        <v>19</v>
      </c>
      <c r="B21" s="14">
        <v>5.3959999999999998E-3</v>
      </c>
      <c r="C21" s="14">
        <v>20054</v>
      </c>
      <c r="D21" s="14">
        <f t="shared" si="0"/>
        <v>27</v>
      </c>
      <c r="E21" s="14">
        <f t="shared" si="2"/>
        <v>163.11453637078111</v>
      </c>
      <c r="F21" s="14">
        <f t="shared" si="1"/>
        <v>1.3481799570579716E-3</v>
      </c>
    </row>
    <row r="22" spans="1:9" x14ac:dyDescent="0.3">
      <c r="A22" s="13">
        <v>20</v>
      </c>
      <c r="B22" s="14">
        <v>5.8859999999999997E-3</v>
      </c>
      <c r="C22" s="14">
        <v>20055</v>
      </c>
      <c r="D22" s="14">
        <f t="shared" si="0"/>
        <v>28</v>
      </c>
      <c r="E22" s="14">
        <f t="shared" si="2"/>
        <v>177.92664215686017</v>
      </c>
      <c r="F22" s="14">
        <f t="shared" si="1"/>
        <v>1.3981125480601187E-3</v>
      </c>
    </row>
    <row r="23" spans="1:9" x14ac:dyDescent="0.3">
      <c r="A23" s="13">
        <v>21</v>
      </c>
      <c r="B23" s="14">
        <v>6.3769999999999999E-3</v>
      </c>
      <c r="C23" s="14">
        <v>20057</v>
      </c>
      <c r="D23" s="14">
        <f t="shared" si="0"/>
        <v>30</v>
      </c>
      <c r="E23" s="14">
        <f t="shared" si="2"/>
        <v>192.7689767302578</v>
      </c>
      <c r="F23" s="14">
        <f t="shared" si="1"/>
        <v>1.4979777300644129E-3</v>
      </c>
      <c r="I23" s="18" t="s">
        <v>35</v>
      </c>
    </row>
    <row r="24" spans="1:9" x14ac:dyDescent="0.3">
      <c r="A24" s="13">
        <v>22</v>
      </c>
      <c r="B24" s="14">
        <v>4.4149999999999997E-3</v>
      </c>
      <c r="C24" s="14">
        <v>20058</v>
      </c>
      <c r="D24" s="14">
        <f t="shared" si="0"/>
        <v>31</v>
      </c>
      <c r="E24" s="14">
        <f t="shared" si="2"/>
        <v>133.46009601130439</v>
      </c>
      <c r="F24" s="14">
        <f t="shared" si="1"/>
        <v>1.5479103210665601E-3</v>
      </c>
    </row>
    <row r="25" spans="1:9" x14ac:dyDescent="0.3">
      <c r="A25" s="13">
        <v>23</v>
      </c>
      <c r="B25" s="14">
        <v>6.8669999999999998E-3</v>
      </c>
      <c r="C25" s="14">
        <v>20060</v>
      </c>
      <c r="D25" s="14">
        <f t="shared" si="0"/>
        <v>33</v>
      </c>
      <c r="E25" s="14">
        <f t="shared" si="2"/>
        <v>207.58108251633689</v>
      </c>
      <c r="F25" s="14">
        <f t="shared" si="1"/>
        <v>1.6477755030708543E-3</v>
      </c>
    </row>
    <row r="26" spans="1:9" x14ac:dyDescent="0.3">
      <c r="A26" s="13">
        <v>24</v>
      </c>
      <c r="B26" s="14">
        <v>5.3959999999999998E-3</v>
      </c>
      <c r="C26" s="14">
        <v>20061</v>
      </c>
      <c r="D26" s="14">
        <f t="shared" si="0"/>
        <v>34</v>
      </c>
      <c r="E26" s="14">
        <f t="shared" si="2"/>
        <v>163.11453637078111</v>
      </c>
      <c r="F26" s="14">
        <f t="shared" si="1"/>
        <v>1.6977080940730014E-3</v>
      </c>
    </row>
    <row r="27" spans="1:9" x14ac:dyDescent="0.3">
      <c r="A27" s="13">
        <v>25</v>
      </c>
      <c r="B27" s="14">
        <v>5.3959999999999998E-3</v>
      </c>
      <c r="C27" s="14">
        <v>20063</v>
      </c>
      <c r="D27" s="14">
        <f t="shared" si="0"/>
        <v>36</v>
      </c>
      <c r="E27" s="14">
        <f t="shared" si="2"/>
        <v>163.11453637078111</v>
      </c>
      <c r="F27" s="14">
        <f t="shared" si="1"/>
        <v>1.7975732760772956E-3</v>
      </c>
    </row>
    <row r="28" spans="1:9" x14ac:dyDescent="0.3">
      <c r="A28" s="13">
        <v>26</v>
      </c>
      <c r="B28" s="14">
        <v>4.9049999999999996E-3</v>
      </c>
      <c r="C28" s="14">
        <v>20064</v>
      </c>
      <c r="D28" s="14">
        <f t="shared" si="0"/>
        <v>37</v>
      </c>
      <c r="E28" s="14">
        <f t="shared" si="2"/>
        <v>148.27220179738347</v>
      </c>
      <c r="F28" s="14">
        <f t="shared" si="1"/>
        <v>1.8475058670794427E-3</v>
      </c>
    </row>
    <row r="29" spans="1:9" x14ac:dyDescent="0.3">
      <c r="A29" s="13">
        <v>27</v>
      </c>
      <c r="B29" s="14">
        <v>6.3769999999999999E-3</v>
      </c>
      <c r="C29" s="14">
        <v>20066</v>
      </c>
      <c r="D29" s="14">
        <f t="shared" si="0"/>
        <v>39</v>
      </c>
      <c r="E29" s="14">
        <f t="shared" si="2"/>
        <v>192.7689767302578</v>
      </c>
      <c r="F29" s="14">
        <f t="shared" si="1"/>
        <v>1.9473710490837369E-3</v>
      </c>
    </row>
    <row r="30" spans="1:9" x14ac:dyDescent="0.3">
      <c r="A30" s="13">
        <v>28</v>
      </c>
      <c r="B30" s="14">
        <v>7.358E-3</v>
      </c>
      <c r="C30" s="14">
        <v>20067</v>
      </c>
      <c r="D30" s="14">
        <f t="shared" si="0"/>
        <v>40</v>
      </c>
      <c r="E30" s="14">
        <f t="shared" si="2"/>
        <v>222.4234170897345</v>
      </c>
      <c r="F30" s="14">
        <f t="shared" si="1"/>
        <v>1.9973036400858842E-3</v>
      </c>
    </row>
    <row r="31" spans="1:9" x14ac:dyDescent="0.3">
      <c r="A31" s="13">
        <v>29</v>
      </c>
      <c r="B31" s="14">
        <v>9.8110000000000003E-3</v>
      </c>
      <c r="C31" s="14">
        <v>20069</v>
      </c>
      <c r="D31" s="14">
        <f t="shared" si="0"/>
        <v>42</v>
      </c>
      <c r="E31" s="14">
        <f t="shared" si="2"/>
        <v>296.5746323820855</v>
      </c>
      <c r="F31" s="14">
        <f t="shared" si="1"/>
        <v>2.0971688220901784E-3</v>
      </c>
    </row>
    <row r="32" spans="1:9" x14ac:dyDescent="0.3">
      <c r="A32" s="13">
        <v>30</v>
      </c>
      <c r="B32" s="14">
        <v>8.8299999999999993E-3</v>
      </c>
      <c r="C32" s="14">
        <v>20070</v>
      </c>
      <c r="D32" s="14">
        <f t="shared" si="0"/>
        <v>43</v>
      </c>
      <c r="E32" s="14">
        <f t="shared" si="2"/>
        <v>266.92019202260877</v>
      </c>
      <c r="F32" s="14">
        <f t="shared" si="1"/>
        <v>2.1471014130923253E-3</v>
      </c>
    </row>
    <row r="33" spans="1:6" x14ac:dyDescent="0.3">
      <c r="A33" s="13">
        <v>31</v>
      </c>
      <c r="B33" s="14">
        <v>8.3389999999999992E-3</v>
      </c>
      <c r="C33" s="14">
        <v>20072</v>
      </c>
      <c r="D33" s="14">
        <f t="shared" si="0"/>
        <v>45</v>
      </c>
      <c r="E33" s="14">
        <f t="shared" si="2"/>
        <v>252.07785744921117</v>
      </c>
      <c r="F33" s="14">
        <f t="shared" si="1"/>
        <v>2.2469665950966195E-3</v>
      </c>
    </row>
    <row r="34" spans="1:6" x14ac:dyDescent="0.3">
      <c r="A34" s="13">
        <v>32</v>
      </c>
      <c r="B34" s="14">
        <v>7.8490000000000001E-3</v>
      </c>
      <c r="C34" s="14">
        <v>20073</v>
      </c>
      <c r="D34" s="14">
        <f t="shared" si="0"/>
        <v>46</v>
      </c>
      <c r="E34" s="14">
        <f t="shared" si="2"/>
        <v>237.26575166313211</v>
      </c>
      <c r="F34" s="14">
        <f t="shared" si="1"/>
        <v>2.2968991860987669E-3</v>
      </c>
    </row>
    <row r="35" spans="1:6" x14ac:dyDescent="0.3">
      <c r="A35" s="13">
        <v>33</v>
      </c>
      <c r="B35" s="14">
        <v>6.8669999999999998E-3</v>
      </c>
      <c r="C35" s="14">
        <v>20075</v>
      </c>
      <c r="D35" s="14">
        <f t="shared" si="0"/>
        <v>48</v>
      </c>
      <c r="E35" s="14">
        <f t="shared" si="2"/>
        <v>207.58108251633689</v>
      </c>
      <c r="F35" s="14">
        <f t="shared" si="1"/>
        <v>2.3967643681030611E-3</v>
      </c>
    </row>
    <row r="36" spans="1:6" x14ac:dyDescent="0.3">
      <c r="A36" s="13">
        <v>34</v>
      </c>
      <c r="B36" s="14">
        <v>6.8669999999999998E-3</v>
      </c>
      <c r="C36" s="14">
        <v>20076</v>
      </c>
      <c r="D36" s="14">
        <f t="shared" si="0"/>
        <v>49</v>
      </c>
      <c r="E36" s="14">
        <f t="shared" si="2"/>
        <v>207.58108251633689</v>
      </c>
      <c r="F36" s="14">
        <f t="shared" si="1"/>
        <v>2.446696959105208E-3</v>
      </c>
    </row>
    <row r="37" spans="1:6" x14ac:dyDescent="0.3">
      <c r="A37" s="13">
        <v>35</v>
      </c>
      <c r="B37" s="14">
        <v>6.3769999999999999E-3</v>
      </c>
      <c r="C37" s="14">
        <v>20078</v>
      </c>
      <c r="D37" s="14">
        <f t="shared" si="0"/>
        <v>51</v>
      </c>
      <c r="E37" s="14">
        <f t="shared" si="2"/>
        <v>192.7689767302578</v>
      </c>
      <c r="F37" s="14">
        <f t="shared" si="1"/>
        <v>2.5465621411095022E-3</v>
      </c>
    </row>
    <row r="38" spans="1:6" x14ac:dyDescent="0.3">
      <c r="A38" s="13">
        <v>36</v>
      </c>
      <c r="B38" s="14">
        <v>8.8299999999999993E-3</v>
      </c>
      <c r="C38" s="14">
        <v>20080</v>
      </c>
      <c r="D38" s="14">
        <f t="shared" si="0"/>
        <v>53</v>
      </c>
      <c r="E38" s="14">
        <f t="shared" si="2"/>
        <v>266.92019202260877</v>
      </c>
      <c r="F38" s="14">
        <f t="shared" si="1"/>
        <v>2.6464273231137964E-3</v>
      </c>
    </row>
    <row r="39" spans="1:6" x14ac:dyDescent="0.3">
      <c r="A39" s="13">
        <v>37</v>
      </c>
      <c r="B39" s="14">
        <v>8.3389999999999992E-3</v>
      </c>
      <c r="C39" s="14">
        <v>20081</v>
      </c>
      <c r="D39" s="14">
        <f t="shared" si="0"/>
        <v>54</v>
      </c>
      <c r="E39" s="14">
        <f t="shared" si="2"/>
        <v>252.07785744921117</v>
      </c>
      <c r="F39" s="14">
        <f t="shared" si="1"/>
        <v>2.6963599141159433E-3</v>
      </c>
    </row>
    <row r="40" spans="1:6" x14ac:dyDescent="0.3">
      <c r="A40" s="13">
        <v>38</v>
      </c>
      <c r="B40" s="14">
        <v>7.8490000000000001E-3</v>
      </c>
      <c r="C40" s="14">
        <v>20083</v>
      </c>
      <c r="D40" s="14">
        <f t="shared" si="0"/>
        <v>56</v>
      </c>
      <c r="E40" s="14">
        <f t="shared" si="2"/>
        <v>237.26575166313211</v>
      </c>
      <c r="F40" s="14">
        <f t="shared" si="1"/>
        <v>2.7962250961202375E-3</v>
      </c>
    </row>
    <row r="41" spans="1:6" x14ac:dyDescent="0.3">
      <c r="A41" s="13">
        <v>39</v>
      </c>
      <c r="B41" s="14">
        <v>9.3200000000000002E-3</v>
      </c>
      <c r="C41" s="14">
        <v>20084</v>
      </c>
      <c r="D41" s="14">
        <f t="shared" si="0"/>
        <v>57</v>
      </c>
      <c r="E41" s="14">
        <f t="shared" si="2"/>
        <v>281.73229780868792</v>
      </c>
      <c r="F41" s="14">
        <f t="shared" si="1"/>
        <v>2.8461576871223848E-3</v>
      </c>
    </row>
    <row r="42" spans="1:6" x14ac:dyDescent="0.3">
      <c r="A42" s="13">
        <v>40</v>
      </c>
      <c r="B42" s="14">
        <v>9.3200000000000002E-3</v>
      </c>
      <c r="C42" s="14">
        <v>20086</v>
      </c>
      <c r="D42" s="14">
        <f t="shared" si="0"/>
        <v>59</v>
      </c>
      <c r="E42" s="14">
        <f t="shared" si="2"/>
        <v>281.73229780868792</v>
      </c>
      <c r="F42" s="14">
        <f t="shared" si="1"/>
        <v>2.946022869126679E-3</v>
      </c>
    </row>
    <row r="43" spans="1:6" x14ac:dyDescent="0.3">
      <c r="A43" s="13">
        <v>41</v>
      </c>
      <c r="B43" s="14">
        <v>1.128E-2</v>
      </c>
      <c r="C43" s="14">
        <v>20087</v>
      </c>
      <c r="D43" s="14">
        <f t="shared" si="0"/>
        <v>60</v>
      </c>
      <c r="E43" s="14">
        <f t="shared" si="2"/>
        <v>340.98072095300427</v>
      </c>
      <c r="F43" s="14">
        <f t="shared" si="1"/>
        <v>2.9959554601288259E-3</v>
      </c>
    </row>
    <row r="44" spans="1:6" x14ac:dyDescent="0.3">
      <c r="A44" s="13">
        <v>42</v>
      </c>
      <c r="B44" s="14">
        <v>1.03E-2</v>
      </c>
      <c r="C44" s="14">
        <v>20089</v>
      </c>
      <c r="D44" s="14">
        <f t="shared" si="0"/>
        <v>62</v>
      </c>
      <c r="E44" s="14">
        <f t="shared" si="2"/>
        <v>311.35650938084609</v>
      </c>
      <c r="F44" s="14">
        <f t="shared" si="1"/>
        <v>3.0958206421331201E-3</v>
      </c>
    </row>
    <row r="45" spans="1:6" x14ac:dyDescent="0.3">
      <c r="A45" s="13">
        <v>43</v>
      </c>
      <c r="B45" s="14">
        <v>1.1769999999999999E-2</v>
      </c>
      <c r="C45" s="14">
        <v>20090</v>
      </c>
      <c r="D45" s="14">
        <f t="shared" si="0"/>
        <v>63</v>
      </c>
      <c r="E45" s="14">
        <f t="shared" si="2"/>
        <v>355.7928267390833</v>
      </c>
      <c r="F45" s="14">
        <f t="shared" si="1"/>
        <v>3.1457532331352674E-3</v>
      </c>
    </row>
    <row r="46" spans="1:6" x14ac:dyDescent="0.3">
      <c r="A46" s="13">
        <v>44</v>
      </c>
      <c r="B46" s="14">
        <v>1.226E-2</v>
      </c>
      <c r="C46" s="14">
        <v>20092</v>
      </c>
      <c r="D46" s="14">
        <f t="shared" si="0"/>
        <v>65</v>
      </c>
      <c r="E46" s="14">
        <f t="shared" si="2"/>
        <v>370.60493252516238</v>
      </c>
      <c r="F46" s="14">
        <f t="shared" si="1"/>
        <v>3.2456184151395616E-3</v>
      </c>
    </row>
    <row r="47" spans="1:6" x14ac:dyDescent="0.3">
      <c r="A47" s="13">
        <v>45</v>
      </c>
      <c r="B47" s="14">
        <v>1.0789999999999999E-2</v>
      </c>
      <c r="C47" s="14">
        <v>20093</v>
      </c>
      <c r="D47" s="14">
        <f t="shared" si="0"/>
        <v>66</v>
      </c>
      <c r="E47" s="14">
        <f t="shared" si="2"/>
        <v>326.16861516692512</v>
      </c>
      <c r="F47" s="14">
        <f t="shared" si="1"/>
        <v>3.2955510061417085E-3</v>
      </c>
    </row>
    <row r="48" spans="1:6" x14ac:dyDescent="0.3">
      <c r="A48" s="13">
        <v>46</v>
      </c>
      <c r="B48" s="14">
        <v>1.2749999999999999E-2</v>
      </c>
      <c r="C48" s="14">
        <v>20095</v>
      </c>
      <c r="D48" s="14">
        <f t="shared" si="0"/>
        <v>68</v>
      </c>
      <c r="E48" s="14">
        <f t="shared" si="2"/>
        <v>385.41703831124147</v>
      </c>
      <c r="F48" s="14">
        <f t="shared" si="1"/>
        <v>3.3954161881460027E-3</v>
      </c>
    </row>
    <row r="49" spans="1:6" x14ac:dyDescent="0.3">
      <c r="A49" s="13">
        <v>47</v>
      </c>
      <c r="B49" s="14">
        <v>1.3729999999999999E-2</v>
      </c>
      <c r="C49" s="14">
        <v>20096</v>
      </c>
      <c r="D49" s="14">
        <f t="shared" si="0"/>
        <v>69</v>
      </c>
      <c r="E49" s="14">
        <f t="shared" si="2"/>
        <v>415.04124988339964</v>
      </c>
      <c r="F49" s="14">
        <f t="shared" si="1"/>
        <v>3.4453487791481501E-3</v>
      </c>
    </row>
    <row r="50" spans="1:6" x14ac:dyDescent="0.3">
      <c r="A50" s="13">
        <v>48</v>
      </c>
      <c r="B50" s="14">
        <v>1.324E-2</v>
      </c>
      <c r="C50" s="14">
        <v>20098</v>
      </c>
      <c r="D50" s="14">
        <f t="shared" si="0"/>
        <v>71</v>
      </c>
      <c r="E50" s="14">
        <f t="shared" si="2"/>
        <v>400.22914409732056</v>
      </c>
      <c r="F50" s="14">
        <f t="shared" si="1"/>
        <v>3.5452139611524443E-3</v>
      </c>
    </row>
    <row r="51" spans="1:6" x14ac:dyDescent="0.3">
      <c r="A51" s="13">
        <v>49</v>
      </c>
      <c r="B51" s="14">
        <v>1.324E-2</v>
      </c>
      <c r="C51" s="14">
        <v>20099</v>
      </c>
      <c r="D51" s="14">
        <f t="shared" si="0"/>
        <v>72</v>
      </c>
      <c r="E51" s="14">
        <f t="shared" si="2"/>
        <v>400.22914409732056</v>
      </c>
      <c r="F51" s="14">
        <f t="shared" si="1"/>
        <v>3.5951465521545912E-3</v>
      </c>
    </row>
    <row r="52" spans="1:6" x14ac:dyDescent="0.3">
      <c r="A52" s="13">
        <v>50</v>
      </c>
      <c r="B52" s="14">
        <v>1.521E-2</v>
      </c>
      <c r="C52" s="14">
        <v>20101</v>
      </c>
      <c r="D52" s="14">
        <f t="shared" si="0"/>
        <v>74</v>
      </c>
      <c r="E52" s="14">
        <f t="shared" si="2"/>
        <v>459.77985511482217</v>
      </c>
      <c r="F52" s="14">
        <f t="shared" si="1"/>
        <v>3.6950117341588854E-3</v>
      </c>
    </row>
    <row r="53" spans="1:6" x14ac:dyDescent="0.3">
      <c r="A53" s="13">
        <v>51</v>
      </c>
      <c r="B53" s="14">
        <v>1.5699999999999999E-2</v>
      </c>
      <c r="C53" s="14">
        <v>20102</v>
      </c>
      <c r="D53" s="14">
        <f t="shared" si="0"/>
        <v>75</v>
      </c>
      <c r="E53" s="14">
        <f t="shared" si="2"/>
        <v>474.59196090090126</v>
      </c>
      <c r="F53" s="14">
        <f t="shared" si="1"/>
        <v>3.7449443251610327E-3</v>
      </c>
    </row>
    <row r="54" spans="1:6" x14ac:dyDescent="0.3">
      <c r="A54" s="13">
        <v>52</v>
      </c>
      <c r="B54" s="14">
        <v>1.668E-2</v>
      </c>
      <c r="C54" s="14">
        <v>20104</v>
      </c>
      <c r="D54" s="14">
        <f t="shared" si="0"/>
        <v>77</v>
      </c>
      <c r="E54" s="14">
        <f t="shared" si="2"/>
        <v>504.21617247305949</v>
      </c>
      <c r="F54" s="14">
        <f t="shared" si="1"/>
        <v>3.8448095071653269E-3</v>
      </c>
    </row>
    <row r="55" spans="1:6" x14ac:dyDescent="0.3">
      <c r="A55" s="13">
        <v>53</v>
      </c>
      <c r="B55" s="14">
        <v>1.5699999999999999E-2</v>
      </c>
      <c r="C55" s="14">
        <v>20106</v>
      </c>
      <c r="D55" s="14">
        <f t="shared" si="0"/>
        <v>79</v>
      </c>
      <c r="E55" s="14">
        <f t="shared" si="2"/>
        <v>474.59196090090126</v>
      </c>
      <c r="F55" s="14">
        <f t="shared" si="1"/>
        <v>3.9446746891696211E-3</v>
      </c>
    </row>
    <row r="56" spans="1:6" x14ac:dyDescent="0.3">
      <c r="A56" s="13">
        <v>54</v>
      </c>
      <c r="B56" s="14">
        <v>1.619E-2</v>
      </c>
      <c r="C56" s="14">
        <v>20107</v>
      </c>
      <c r="D56" s="14">
        <f t="shared" si="0"/>
        <v>80</v>
      </c>
      <c r="E56" s="14">
        <f t="shared" si="2"/>
        <v>489.40406668698034</v>
      </c>
      <c r="F56" s="14">
        <f t="shared" si="1"/>
        <v>3.9946072801717684E-3</v>
      </c>
    </row>
    <row r="57" spans="1:6" x14ac:dyDescent="0.3">
      <c r="A57" s="13">
        <v>55</v>
      </c>
      <c r="B57" s="14">
        <v>1.7659999999999999E-2</v>
      </c>
      <c r="C57" s="14">
        <v>20109</v>
      </c>
      <c r="D57" s="14">
        <f t="shared" si="0"/>
        <v>82</v>
      </c>
      <c r="E57" s="14">
        <f t="shared" si="2"/>
        <v>533.84038404521755</v>
      </c>
      <c r="F57" s="14">
        <f t="shared" si="1"/>
        <v>4.0944724621760622E-3</v>
      </c>
    </row>
    <row r="58" spans="1:6" x14ac:dyDescent="0.3">
      <c r="A58" s="13">
        <v>56</v>
      </c>
      <c r="B58" s="14">
        <v>1.668E-2</v>
      </c>
      <c r="C58" s="14">
        <v>20110</v>
      </c>
      <c r="D58" s="14">
        <f t="shared" si="0"/>
        <v>83</v>
      </c>
      <c r="E58" s="14">
        <f t="shared" si="2"/>
        <v>504.21617247305949</v>
      </c>
      <c r="F58" s="14">
        <f t="shared" si="1"/>
        <v>4.1444050531782095E-3</v>
      </c>
    </row>
    <row r="59" spans="1:6" x14ac:dyDescent="0.3">
      <c r="A59" s="13">
        <v>57</v>
      </c>
      <c r="B59" s="14">
        <v>1.7170000000000001E-2</v>
      </c>
      <c r="C59" s="14">
        <v>20112</v>
      </c>
      <c r="D59" s="14">
        <f t="shared" si="0"/>
        <v>85</v>
      </c>
      <c r="E59" s="14">
        <f t="shared" si="2"/>
        <v>519.02827825913857</v>
      </c>
      <c r="F59" s="14">
        <f t="shared" si="1"/>
        <v>4.2442702351825033E-3</v>
      </c>
    </row>
    <row r="60" spans="1:6" x14ac:dyDescent="0.3">
      <c r="A60" s="13">
        <v>58</v>
      </c>
      <c r="B60" s="14">
        <v>1.7170000000000001E-2</v>
      </c>
      <c r="C60" s="14">
        <v>20114</v>
      </c>
      <c r="D60" s="14">
        <f t="shared" si="0"/>
        <v>87</v>
      </c>
      <c r="E60" s="14">
        <f t="shared" si="2"/>
        <v>519.02827825913857</v>
      </c>
      <c r="F60" s="14">
        <f t="shared" si="1"/>
        <v>4.344135417186798E-3</v>
      </c>
    </row>
    <row r="61" spans="1:6" x14ac:dyDescent="0.3">
      <c r="A61" s="13">
        <v>59</v>
      </c>
      <c r="B61" s="14">
        <v>1.864E-2</v>
      </c>
      <c r="C61" s="14">
        <v>20115</v>
      </c>
      <c r="D61" s="14">
        <f t="shared" si="0"/>
        <v>88</v>
      </c>
      <c r="E61" s="14">
        <f t="shared" si="2"/>
        <v>563.46459561737583</v>
      </c>
      <c r="F61" s="14">
        <f t="shared" si="1"/>
        <v>4.3940680081889453E-3</v>
      </c>
    </row>
    <row r="62" spans="1:6" x14ac:dyDescent="0.3">
      <c r="A62" s="13">
        <v>60</v>
      </c>
      <c r="B62" s="14">
        <v>1.9619999999999999E-2</v>
      </c>
      <c r="C62" s="14">
        <v>20117</v>
      </c>
      <c r="D62" s="14">
        <f t="shared" si="0"/>
        <v>90</v>
      </c>
      <c r="E62" s="14">
        <f t="shared" si="2"/>
        <v>593.0888071895339</v>
      </c>
      <c r="F62" s="14">
        <f t="shared" si="1"/>
        <v>4.4939331901932391E-3</v>
      </c>
    </row>
    <row r="63" spans="1:6" x14ac:dyDescent="0.3">
      <c r="A63" s="13">
        <v>61</v>
      </c>
      <c r="B63" s="14">
        <v>2.06E-2</v>
      </c>
      <c r="C63" s="14">
        <v>20118</v>
      </c>
      <c r="D63" s="14">
        <f t="shared" si="0"/>
        <v>91</v>
      </c>
      <c r="E63" s="14">
        <f t="shared" si="2"/>
        <v>622.71301876169218</v>
      </c>
      <c r="F63" s="14">
        <f t="shared" si="1"/>
        <v>4.5438657811953864E-3</v>
      </c>
    </row>
    <row r="64" spans="1:6" x14ac:dyDescent="0.3">
      <c r="A64" s="13">
        <v>62</v>
      </c>
      <c r="B64" s="14">
        <v>2.06E-2</v>
      </c>
      <c r="C64" s="14">
        <v>20120</v>
      </c>
      <c r="D64" s="14">
        <f t="shared" si="0"/>
        <v>93</v>
      </c>
      <c r="E64" s="14">
        <f t="shared" si="2"/>
        <v>622.71301876169218</v>
      </c>
      <c r="F64" s="14">
        <f t="shared" si="1"/>
        <v>4.6437309631996802E-3</v>
      </c>
    </row>
    <row r="65" spans="1:6" x14ac:dyDescent="0.3">
      <c r="A65" s="13">
        <v>63</v>
      </c>
      <c r="B65" s="14">
        <v>2.1579999999999998E-2</v>
      </c>
      <c r="C65" s="14">
        <v>20121</v>
      </c>
      <c r="D65" s="14">
        <f t="shared" si="0"/>
        <v>94</v>
      </c>
      <c r="E65" s="14">
        <f t="shared" si="2"/>
        <v>652.33723033385024</v>
      </c>
      <c r="F65" s="14">
        <f t="shared" si="1"/>
        <v>4.6936635542018275E-3</v>
      </c>
    </row>
    <row r="66" spans="1:6" x14ac:dyDescent="0.3">
      <c r="A66" s="13">
        <v>64</v>
      </c>
      <c r="B66" s="14">
        <v>2.256E-2</v>
      </c>
      <c r="C66" s="14">
        <v>20123</v>
      </c>
      <c r="D66" s="14">
        <f t="shared" si="0"/>
        <v>96</v>
      </c>
      <c r="E66" s="14">
        <f t="shared" si="2"/>
        <v>681.96144190600853</v>
      </c>
      <c r="F66" s="14">
        <f t="shared" si="1"/>
        <v>4.7935287362061221E-3</v>
      </c>
    </row>
    <row r="67" spans="1:6" x14ac:dyDescent="0.3">
      <c r="A67" s="13">
        <v>65</v>
      </c>
      <c r="B67" s="14">
        <v>2.256E-2</v>
      </c>
      <c r="C67" s="14">
        <v>20125</v>
      </c>
      <c r="D67" s="14">
        <f t="shared" si="0"/>
        <v>98</v>
      </c>
      <c r="E67" s="14">
        <f t="shared" si="2"/>
        <v>681.96144190600853</v>
      </c>
      <c r="F67" s="14">
        <f t="shared" si="1"/>
        <v>4.8933939182104159E-3</v>
      </c>
    </row>
    <row r="68" spans="1:6" x14ac:dyDescent="0.3">
      <c r="A68" s="13">
        <v>66</v>
      </c>
      <c r="B68" s="14">
        <v>2.3060000000000001E-2</v>
      </c>
      <c r="C68" s="14">
        <v>20126</v>
      </c>
      <c r="D68" s="14">
        <f t="shared" ref="D68:D131" si="3">C68-$C$3</f>
        <v>99</v>
      </c>
      <c r="E68" s="14">
        <f t="shared" si="2"/>
        <v>697.07583556527288</v>
      </c>
      <c r="F68" s="14">
        <f t="shared" ref="F68:F131" si="4">D68/$C$3</f>
        <v>4.9433265092125632E-3</v>
      </c>
    </row>
    <row r="69" spans="1:6" x14ac:dyDescent="0.3">
      <c r="A69" s="13">
        <v>67</v>
      </c>
      <c r="B69" s="14">
        <v>2.5510000000000001E-2</v>
      </c>
      <c r="C69" s="14">
        <v>20128</v>
      </c>
      <c r="D69" s="14">
        <f t="shared" si="3"/>
        <v>101</v>
      </c>
      <c r="E69" s="14">
        <f t="shared" ref="E69:E132" si="5">B69/$J$5</f>
        <v>771.13636449566832</v>
      </c>
      <c r="F69" s="14">
        <f t="shared" si="4"/>
        <v>5.043191691216857E-3</v>
      </c>
    </row>
    <row r="70" spans="1:6" x14ac:dyDescent="0.3">
      <c r="A70" s="13">
        <v>68</v>
      </c>
      <c r="B70" s="14">
        <v>2.453E-2</v>
      </c>
      <c r="C70" s="14">
        <v>20129</v>
      </c>
      <c r="D70" s="14">
        <f t="shared" si="3"/>
        <v>102</v>
      </c>
      <c r="E70" s="14">
        <f t="shared" si="5"/>
        <v>741.51215292351014</v>
      </c>
      <c r="F70" s="14">
        <f t="shared" si="4"/>
        <v>5.0931242822190043E-3</v>
      </c>
    </row>
    <row r="71" spans="1:6" x14ac:dyDescent="0.3">
      <c r="A71" s="13">
        <v>69</v>
      </c>
      <c r="B71" s="14">
        <v>2.5020000000000001E-2</v>
      </c>
      <c r="C71" s="14">
        <v>20131</v>
      </c>
      <c r="D71" s="14">
        <f t="shared" si="3"/>
        <v>104</v>
      </c>
      <c r="E71" s="14">
        <f t="shared" si="5"/>
        <v>756.32425870958923</v>
      </c>
      <c r="F71" s="14">
        <f t="shared" si="4"/>
        <v>5.192989464223299E-3</v>
      </c>
    </row>
    <row r="72" spans="1:6" x14ac:dyDescent="0.3">
      <c r="A72" s="13">
        <v>70</v>
      </c>
      <c r="B72" s="14">
        <v>2.5020000000000001E-2</v>
      </c>
      <c r="C72" s="14">
        <v>20132</v>
      </c>
      <c r="D72" s="14">
        <f t="shared" si="3"/>
        <v>105</v>
      </c>
      <c r="E72" s="14">
        <f t="shared" si="5"/>
        <v>756.32425870958923</v>
      </c>
      <c r="F72" s="14">
        <f t="shared" si="4"/>
        <v>5.2429220552254454E-3</v>
      </c>
    </row>
    <row r="73" spans="1:6" x14ac:dyDescent="0.3">
      <c r="A73" s="13">
        <v>71</v>
      </c>
      <c r="B73" s="14">
        <v>2.6980000000000001E-2</v>
      </c>
      <c r="C73" s="14">
        <v>20134</v>
      </c>
      <c r="D73" s="14">
        <f t="shared" si="3"/>
        <v>107</v>
      </c>
      <c r="E73" s="14">
        <f t="shared" si="5"/>
        <v>815.57268185390558</v>
      </c>
      <c r="F73" s="14">
        <f t="shared" si="4"/>
        <v>5.3427872372297401E-3</v>
      </c>
    </row>
    <row r="74" spans="1:6" x14ac:dyDescent="0.3">
      <c r="A74" s="13">
        <v>72</v>
      </c>
      <c r="B74" s="14">
        <v>2.5999999999999999E-2</v>
      </c>
      <c r="C74" s="14">
        <v>20136</v>
      </c>
      <c r="D74" s="14">
        <f t="shared" si="3"/>
        <v>109</v>
      </c>
      <c r="E74" s="14">
        <f t="shared" si="5"/>
        <v>785.94847028174729</v>
      </c>
      <c r="F74" s="14">
        <f t="shared" si="4"/>
        <v>5.4426524192340339E-3</v>
      </c>
    </row>
    <row r="75" spans="1:6" x14ac:dyDescent="0.3">
      <c r="A75" s="13">
        <v>73</v>
      </c>
      <c r="B75" s="14">
        <v>2.7959999999999999E-2</v>
      </c>
      <c r="C75" s="14">
        <v>20137</v>
      </c>
      <c r="D75" s="14">
        <f t="shared" si="3"/>
        <v>110</v>
      </c>
      <c r="E75" s="14">
        <f t="shared" si="5"/>
        <v>845.19689342606364</v>
      </c>
      <c r="F75" s="14">
        <f t="shared" si="4"/>
        <v>5.4925850102361812E-3</v>
      </c>
    </row>
    <row r="76" spans="1:6" x14ac:dyDescent="0.3">
      <c r="A76" s="13">
        <v>74</v>
      </c>
      <c r="B76" s="14">
        <v>2.845E-2</v>
      </c>
      <c r="C76" s="14">
        <v>20139</v>
      </c>
      <c r="D76" s="14">
        <f t="shared" si="3"/>
        <v>112</v>
      </c>
      <c r="E76" s="14">
        <f t="shared" si="5"/>
        <v>860.00899921214273</v>
      </c>
      <c r="F76" s="14">
        <f t="shared" si="4"/>
        <v>5.592450192240475E-3</v>
      </c>
    </row>
    <row r="77" spans="1:6" x14ac:dyDescent="0.3">
      <c r="A77" s="13">
        <v>75</v>
      </c>
      <c r="B77" s="14">
        <v>2.7470000000000001E-2</v>
      </c>
      <c r="C77" s="14">
        <v>20140</v>
      </c>
      <c r="D77" s="14">
        <f t="shared" si="3"/>
        <v>113</v>
      </c>
      <c r="E77" s="14">
        <f t="shared" si="5"/>
        <v>830.38478763998467</v>
      </c>
      <c r="F77" s="14">
        <f t="shared" si="4"/>
        <v>5.6423827832426223E-3</v>
      </c>
    </row>
    <row r="78" spans="1:6" x14ac:dyDescent="0.3">
      <c r="A78" s="13">
        <v>76</v>
      </c>
      <c r="B78" s="14">
        <v>2.894E-2</v>
      </c>
      <c r="C78" s="14">
        <v>20142</v>
      </c>
      <c r="D78" s="14">
        <f t="shared" si="3"/>
        <v>115</v>
      </c>
      <c r="E78" s="14">
        <f t="shared" si="5"/>
        <v>874.82110499822193</v>
      </c>
      <c r="F78" s="14">
        <f t="shared" si="4"/>
        <v>5.7422479652469169E-3</v>
      </c>
    </row>
    <row r="79" spans="1:6" x14ac:dyDescent="0.3">
      <c r="A79" s="13">
        <v>77</v>
      </c>
      <c r="B79" s="14">
        <v>2.9919999999999999E-2</v>
      </c>
      <c r="C79" s="14">
        <v>20144</v>
      </c>
      <c r="D79" s="14">
        <f t="shared" si="3"/>
        <v>117</v>
      </c>
      <c r="E79" s="14">
        <f t="shared" si="5"/>
        <v>904.44531657037999</v>
      </c>
      <c r="F79" s="14">
        <f t="shared" si="4"/>
        <v>5.8421131472512107E-3</v>
      </c>
    </row>
    <row r="80" spans="1:6" x14ac:dyDescent="0.3">
      <c r="A80" s="13">
        <v>78</v>
      </c>
      <c r="B80" s="14">
        <v>3.041E-2</v>
      </c>
      <c r="C80" s="14">
        <v>20145</v>
      </c>
      <c r="D80" s="14">
        <f t="shared" si="3"/>
        <v>118</v>
      </c>
      <c r="E80" s="14">
        <f t="shared" si="5"/>
        <v>919.25742235645907</v>
      </c>
      <c r="F80" s="14">
        <f t="shared" si="4"/>
        <v>5.892045738253358E-3</v>
      </c>
    </row>
    <row r="81" spans="1:6" x14ac:dyDescent="0.3">
      <c r="A81" s="13">
        <v>79</v>
      </c>
      <c r="B81" s="14">
        <v>3.1390000000000001E-2</v>
      </c>
      <c r="C81" s="14">
        <v>20147</v>
      </c>
      <c r="D81" s="14">
        <f t="shared" si="3"/>
        <v>120</v>
      </c>
      <c r="E81" s="14">
        <f t="shared" si="5"/>
        <v>948.88163392861736</v>
      </c>
      <c r="F81" s="14">
        <f t="shared" si="4"/>
        <v>5.9919109202576518E-3</v>
      </c>
    </row>
    <row r="82" spans="1:6" x14ac:dyDescent="0.3">
      <c r="A82" s="13">
        <v>80</v>
      </c>
      <c r="B82" s="14">
        <v>3.09E-2</v>
      </c>
      <c r="C82" s="14">
        <v>20148</v>
      </c>
      <c r="D82" s="14">
        <f t="shared" si="3"/>
        <v>121</v>
      </c>
      <c r="E82" s="14">
        <f t="shared" si="5"/>
        <v>934.06952814253816</v>
      </c>
      <c r="F82" s="14">
        <f t="shared" si="4"/>
        <v>6.0418435112597991E-3</v>
      </c>
    </row>
    <row r="83" spans="1:6" x14ac:dyDescent="0.3">
      <c r="A83" s="13">
        <v>81</v>
      </c>
      <c r="B83" s="14">
        <v>3.1390000000000001E-2</v>
      </c>
      <c r="C83" s="14">
        <v>20150</v>
      </c>
      <c r="D83" s="14">
        <f t="shared" si="3"/>
        <v>123</v>
      </c>
      <c r="E83" s="14">
        <f t="shared" si="5"/>
        <v>948.88163392861736</v>
      </c>
      <c r="F83" s="14">
        <f t="shared" si="4"/>
        <v>6.1417086932640938E-3</v>
      </c>
    </row>
    <row r="84" spans="1:6" x14ac:dyDescent="0.3">
      <c r="A84" s="13">
        <v>82</v>
      </c>
      <c r="B84" s="14">
        <v>3.3360000000000001E-2</v>
      </c>
      <c r="C84" s="14">
        <v>20152</v>
      </c>
      <c r="D84" s="14">
        <f t="shared" si="3"/>
        <v>125</v>
      </c>
      <c r="E84" s="14">
        <f t="shared" si="5"/>
        <v>1008.432344946119</v>
      </c>
      <c r="F84" s="14">
        <f t="shared" si="4"/>
        <v>6.2415738752683875E-3</v>
      </c>
    </row>
    <row r="85" spans="1:6" x14ac:dyDescent="0.3">
      <c r="A85" s="13">
        <v>83</v>
      </c>
      <c r="B85" s="14">
        <v>3.483E-2</v>
      </c>
      <c r="C85" s="14">
        <v>20153</v>
      </c>
      <c r="D85" s="14">
        <f t="shared" si="3"/>
        <v>126</v>
      </c>
      <c r="E85" s="14">
        <f t="shared" si="5"/>
        <v>1052.8686623043561</v>
      </c>
      <c r="F85" s="14">
        <f t="shared" si="4"/>
        <v>6.2915064662705349E-3</v>
      </c>
    </row>
    <row r="86" spans="1:6" x14ac:dyDescent="0.3">
      <c r="A86" s="13">
        <v>84</v>
      </c>
      <c r="B86" s="14">
        <v>3.3360000000000001E-2</v>
      </c>
      <c r="C86" s="14">
        <v>20155</v>
      </c>
      <c r="D86" s="14">
        <f t="shared" si="3"/>
        <v>128</v>
      </c>
      <c r="E86" s="14">
        <f t="shared" si="5"/>
        <v>1008.432344946119</v>
      </c>
      <c r="F86" s="14">
        <f t="shared" si="4"/>
        <v>6.3913716482748286E-3</v>
      </c>
    </row>
    <row r="87" spans="1:6" x14ac:dyDescent="0.3">
      <c r="A87" s="13">
        <v>85</v>
      </c>
      <c r="B87" s="14">
        <v>3.5319999999999997E-2</v>
      </c>
      <c r="C87" s="14">
        <v>20157</v>
      </c>
      <c r="D87" s="14">
        <f t="shared" si="3"/>
        <v>130</v>
      </c>
      <c r="E87" s="14">
        <f t="shared" si="5"/>
        <v>1067.6807680904351</v>
      </c>
      <c r="F87" s="14">
        <f t="shared" si="4"/>
        <v>6.4912368302791233E-3</v>
      </c>
    </row>
    <row r="88" spans="1:6" x14ac:dyDescent="0.3">
      <c r="A88" s="13">
        <v>86</v>
      </c>
      <c r="B88" s="14">
        <v>3.3849999999999998E-2</v>
      </c>
      <c r="C88" s="14">
        <v>20158</v>
      </c>
      <c r="D88" s="14">
        <f t="shared" si="3"/>
        <v>131</v>
      </c>
      <c r="E88" s="14">
        <f t="shared" si="5"/>
        <v>1023.2444507321979</v>
      </c>
      <c r="F88" s="14">
        <f t="shared" si="4"/>
        <v>6.5411694212812706E-3</v>
      </c>
    </row>
    <row r="89" spans="1:6" x14ac:dyDescent="0.3">
      <c r="A89" s="13">
        <v>87</v>
      </c>
      <c r="B89" s="14">
        <v>3.5810000000000002E-2</v>
      </c>
      <c r="C89" s="14">
        <v>20160</v>
      </c>
      <c r="D89" s="14">
        <f t="shared" si="3"/>
        <v>133</v>
      </c>
      <c r="E89" s="14">
        <f t="shared" si="5"/>
        <v>1082.4928738765143</v>
      </c>
      <c r="F89" s="14">
        <f t="shared" si="4"/>
        <v>6.6410346032855644E-3</v>
      </c>
    </row>
    <row r="90" spans="1:6" x14ac:dyDescent="0.3">
      <c r="A90" s="13">
        <v>88</v>
      </c>
      <c r="B90" s="14">
        <v>3.7280000000000001E-2</v>
      </c>
      <c r="C90" s="14">
        <v>20161</v>
      </c>
      <c r="D90" s="14">
        <f t="shared" si="3"/>
        <v>134</v>
      </c>
      <c r="E90" s="14">
        <f t="shared" si="5"/>
        <v>1126.9291912347517</v>
      </c>
      <c r="F90" s="14">
        <f t="shared" si="4"/>
        <v>6.6909671942877117E-3</v>
      </c>
    </row>
    <row r="91" spans="1:6" x14ac:dyDescent="0.3">
      <c r="A91" s="13">
        <v>89</v>
      </c>
      <c r="B91" s="14">
        <v>3.7769999999999998E-2</v>
      </c>
      <c r="C91" s="14">
        <v>20163</v>
      </c>
      <c r="D91" s="14">
        <f t="shared" si="3"/>
        <v>136</v>
      </c>
      <c r="E91" s="14">
        <f t="shared" si="5"/>
        <v>1141.7412970208306</v>
      </c>
      <c r="F91" s="14">
        <f t="shared" si="4"/>
        <v>6.7908323762920055E-3</v>
      </c>
    </row>
    <row r="92" spans="1:6" x14ac:dyDescent="0.3">
      <c r="A92" s="13">
        <v>90</v>
      </c>
      <c r="B92" s="14">
        <v>3.6790000000000003E-2</v>
      </c>
      <c r="C92" s="14">
        <v>20165</v>
      </c>
      <c r="D92" s="14">
        <f t="shared" si="3"/>
        <v>138</v>
      </c>
      <c r="E92" s="14">
        <f t="shared" si="5"/>
        <v>1112.1170854486727</v>
      </c>
      <c r="F92" s="14">
        <f t="shared" si="4"/>
        <v>6.8906975582963001E-3</v>
      </c>
    </row>
    <row r="93" spans="1:6" x14ac:dyDescent="0.3">
      <c r="A93" s="13">
        <v>91</v>
      </c>
      <c r="B93" s="14">
        <v>3.7769999999999998E-2</v>
      </c>
      <c r="C93" s="14">
        <v>20166</v>
      </c>
      <c r="D93" s="14">
        <f t="shared" si="3"/>
        <v>139</v>
      </c>
      <c r="E93" s="14">
        <f t="shared" si="5"/>
        <v>1141.7412970208306</v>
      </c>
      <c r="F93" s="14">
        <f t="shared" si="4"/>
        <v>6.9406301492984475E-3</v>
      </c>
    </row>
    <row r="94" spans="1:6" x14ac:dyDescent="0.3">
      <c r="A94" s="13">
        <v>92</v>
      </c>
      <c r="B94" s="14">
        <v>3.875E-2</v>
      </c>
      <c r="C94" s="14">
        <v>20168</v>
      </c>
      <c r="D94" s="14">
        <f t="shared" si="3"/>
        <v>141</v>
      </c>
      <c r="E94" s="14">
        <f t="shared" si="5"/>
        <v>1171.3655085929888</v>
      </c>
      <c r="F94" s="14">
        <f t="shared" si="4"/>
        <v>7.0404953313027412E-3</v>
      </c>
    </row>
    <row r="95" spans="1:6" x14ac:dyDescent="0.3">
      <c r="A95" s="13">
        <v>93</v>
      </c>
      <c r="B95" s="14">
        <v>4.0219999999999999E-2</v>
      </c>
      <c r="C95" s="14">
        <v>20170</v>
      </c>
      <c r="D95" s="14">
        <f t="shared" si="3"/>
        <v>143</v>
      </c>
      <c r="E95" s="14">
        <f t="shared" si="5"/>
        <v>1215.801825951226</v>
      </c>
      <c r="F95" s="14">
        <f t="shared" si="4"/>
        <v>7.1403605133070359E-3</v>
      </c>
    </row>
    <row r="96" spans="1:6" x14ac:dyDescent="0.3">
      <c r="A96" s="13">
        <v>94</v>
      </c>
      <c r="B96" s="14">
        <v>4.1200000000000001E-2</v>
      </c>
      <c r="C96" s="14">
        <v>20171</v>
      </c>
      <c r="D96" s="14">
        <f t="shared" si="3"/>
        <v>144</v>
      </c>
      <c r="E96" s="14">
        <f t="shared" si="5"/>
        <v>1245.4260375233844</v>
      </c>
      <c r="F96" s="14">
        <f t="shared" si="4"/>
        <v>7.1902931043091823E-3</v>
      </c>
    </row>
    <row r="97" spans="1:6" x14ac:dyDescent="0.3">
      <c r="A97" s="13">
        <v>95</v>
      </c>
      <c r="B97" s="14">
        <v>4.0219999999999999E-2</v>
      </c>
      <c r="C97" s="14">
        <v>20173</v>
      </c>
      <c r="D97" s="14">
        <f t="shared" si="3"/>
        <v>146</v>
      </c>
      <c r="E97" s="14">
        <f t="shared" si="5"/>
        <v>1215.801825951226</v>
      </c>
      <c r="F97" s="14">
        <f t="shared" si="4"/>
        <v>7.290158286313477E-3</v>
      </c>
    </row>
    <row r="98" spans="1:6" x14ac:dyDescent="0.3">
      <c r="A98" s="13">
        <v>96</v>
      </c>
      <c r="B98" s="14">
        <v>4.1700000000000001E-2</v>
      </c>
      <c r="C98" s="14">
        <v>20174</v>
      </c>
      <c r="D98" s="14">
        <f t="shared" si="3"/>
        <v>147</v>
      </c>
      <c r="E98" s="14">
        <f t="shared" si="5"/>
        <v>1260.5404311826487</v>
      </c>
      <c r="F98" s="14">
        <f t="shared" si="4"/>
        <v>7.3400908773156243E-3</v>
      </c>
    </row>
    <row r="99" spans="1:6" x14ac:dyDescent="0.3">
      <c r="A99" s="13">
        <v>97</v>
      </c>
      <c r="B99" s="14">
        <v>4.3659999999999997E-2</v>
      </c>
      <c r="C99" s="14">
        <v>20176</v>
      </c>
      <c r="D99" s="14">
        <f t="shared" si="3"/>
        <v>149</v>
      </c>
      <c r="E99" s="14">
        <f t="shared" si="5"/>
        <v>1319.7888543269648</v>
      </c>
      <c r="F99" s="14">
        <f t="shared" si="4"/>
        <v>7.4399560593199181E-3</v>
      </c>
    </row>
    <row r="100" spans="1:6" x14ac:dyDescent="0.3">
      <c r="A100" s="13">
        <v>98</v>
      </c>
      <c r="B100" s="14">
        <v>4.317E-2</v>
      </c>
      <c r="C100" s="14">
        <v>20178</v>
      </c>
      <c r="D100" s="14">
        <f t="shared" si="3"/>
        <v>151</v>
      </c>
      <c r="E100" s="14">
        <f t="shared" si="5"/>
        <v>1304.9767485408859</v>
      </c>
      <c r="F100" s="14">
        <f t="shared" si="4"/>
        <v>7.5398212413242127E-3</v>
      </c>
    </row>
    <row r="101" spans="1:6" x14ac:dyDescent="0.3">
      <c r="A101" s="13">
        <v>99</v>
      </c>
      <c r="B101" s="14">
        <v>4.4639999999999999E-2</v>
      </c>
      <c r="C101" s="14">
        <v>20179</v>
      </c>
      <c r="D101" s="14">
        <f t="shared" si="3"/>
        <v>152</v>
      </c>
      <c r="E101" s="14">
        <f t="shared" si="5"/>
        <v>1349.413065899123</v>
      </c>
      <c r="F101" s="14">
        <f t="shared" si="4"/>
        <v>7.5897538323263592E-3</v>
      </c>
    </row>
    <row r="102" spans="1:6" x14ac:dyDescent="0.3">
      <c r="A102" s="13">
        <v>100</v>
      </c>
      <c r="B102" s="14">
        <v>4.317E-2</v>
      </c>
      <c r="C102" s="14">
        <v>20181</v>
      </c>
      <c r="D102" s="14">
        <f t="shared" si="3"/>
        <v>154</v>
      </c>
      <c r="E102" s="14">
        <f t="shared" si="5"/>
        <v>1304.9767485408859</v>
      </c>
      <c r="F102" s="14">
        <f t="shared" si="4"/>
        <v>7.6896190143306538E-3</v>
      </c>
    </row>
    <row r="103" spans="1:6" x14ac:dyDescent="0.3">
      <c r="A103" s="13">
        <v>101</v>
      </c>
      <c r="B103" s="14">
        <v>4.5130000000000003E-2</v>
      </c>
      <c r="C103" s="14">
        <v>20183</v>
      </c>
      <c r="D103" s="14">
        <f t="shared" si="3"/>
        <v>156</v>
      </c>
      <c r="E103" s="14">
        <f t="shared" si="5"/>
        <v>1364.2251716852024</v>
      </c>
      <c r="F103" s="14">
        <f t="shared" si="4"/>
        <v>7.7894841963349476E-3</v>
      </c>
    </row>
    <row r="104" spans="1:6" x14ac:dyDescent="0.3">
      <c r="A104" s="13">
        <v>102</v>
      </c>
      <c r="B104" s="14">
        <v>4.5130000000000003E-2</v>
      </c>
      <c r="C104" s="14">
        <v>20184</v>
      </c>
      <c r="D104" s="14">
        <f t="shared" si="3"/>
        <v>157</v>
      </c>
      <c r="E104" s="14">
        <f t="shared" si="5"/>
        <v>1364.2251716852024</v>
      </c>
      <c r="F104" s="14">
        <f t="shared" si="4"/>
        <v>7.8394167873370949E-3</v>
      </c>
    </row>
    <row r="105" spans="1:6" x14ac:dyDescent="0.3">
      <c r="A105" s="13">
        <v>103</v>
      </c>
      <c r="B105" s="14">
        <v>4.6600000000000003E-2</v>
      </c>
      <c r="C105" s="14">
        <v>20186</v>
      </c>
      <c r="D105" s="14">
        <f t="shared" si="3"/>
        <v>159</v>
      </c>
      <c r="E105" s="14">
        <f t="shared" si="5"/>
        <v>1408.6614890434396</v>
      </c>
      <c r="F105" s="14">
        <f t="shared" si="4"/>
        <v>7.9392819693413896E-3</v>
      </c>
    </row>
    <row r="106" spans="1:6" x14ac:dyDescent="0.3">
      <c r="A106" s="13">
        <v>104</v>
      </c>
      <c r="B106" s="14">
        <v>4.6600000000000003E-2</v>
      </c>
      <c r="C106" s="14">
        <v>20188</v>
      </c>
      <c r="D106" s="14">
        <f t="shared" si="3"/>
        <v>161</v>
      </c>
      <c r="E106" s="14">
        <f t="shared" si="5"/>
        <v>1408.6614890434396</v>
      </c>
      <c r="F106" s="14">
        <f t="shared" si="4"/>
        <v>8.0391471513456825E-3</v>
      </c>
    </row>
    <row r="107" spans="1:6" x14ac:dyDescent="0.3">
      <c r="A107" s="13">
        <v>105</v>
      </c>
      <c r="B107" s="14">
        <v>4.709E-2</v>
      </c>
      <c r="C107" s="14">
        <v>20189</v>
      </c>
      <c r="D107" s="14">
        <f t="shared" si="3"/>
        <v>162</v>
      </c>
      <c r="E107" s="14">
        <f t="shared" si="5"/>
        <v>1423.4735948295186</v>
      </c>
      <c r="F107" s="14">
        <f t="shared" si="4"/>
        <v>8.0890797423478298E-3</v>
      </c>
    </row>
    <row r="108" spans="1:6" x14ac:dyDescent="0.3">
      <c r="A108" s="13">
        <v>106</v>
      </c>
      <c r="B108" s="14">
        <v>4.8559999999999999E-2</v>
      </c>
      <c r="C108" s="14">
        <v>20191</v>
      </c>
      <c r="D108" s="14">
        <f t="shared" si="3"/>
        <v>164</v>
      </c>
      <c r="E108" s="14">
        <f t="shared" si="5"/>
        <v>1467.9099121877557</v>
      </c>
      <c r="F108" s="14">
        <f t="shared" si="4"/>
        <v>8.1889449243521244E-3</v>
      </c>
    </row>
    <row r="109" spans="1:6" x14ac:dyDescent="0.3">
      <c r="A109" s="13">
        <v>107</v>
      </c>
      <c r="B109" s="14">
        <v>4.8559999999999999E-2</v>
      </c>
      <c r="C109" s="14">
        <v>20193</v>
      </c>
      <c r="D109" s="14">
        <f t="shared" si="3"/>
        <v>166</v>
      </c>
      <c r="E109" s="14">
        <f t="shared" si="5"/>
        <v>1467.9099121877557</v>
      </c>
      <c r="F109" s="14">
        <f t="shared" si="4"/>
        <v>8.2888101063564191E-3</v>
      </c>
    </row>
    <row r="110" spans="1:6" x14ac:dyDescent="0.3">
      <c r="A110" s="13">
        <v>108</v>
      </c>
      <c r="B110" s="14">
        <v>4.8070000000000002E-2</v>
      </c>
      <c r="C110" s="14">
        <v>20194</v>
      </c>
      <c r="D110" s="14">
        <f t="shared" si="3"/>
        <v>167</v>
      </c>
      <c r="E110" s="14">
        <f t="shared" si="5"/>
        <v>1453.0978064016767</v>
      </c>
      <c r="F110" s="14">
        <f t="shared" si="4"/>
        <v>8.3387426973585664E-3</v>
      </c>
    </row>
    <row r="111" spans="1:6" x14ac:dyDescent="0.3">
      <c r="A111" s="13">
        <v>109</v>
      </c>
      <c r="B111" s="14">
        <v>4.9050000000000003E-2</v>
      </c>
      <c r="C111" s="14">
        <v>20196</v>
      </c>
      <c r="D111" s="14">
        <f t="shared" si="3"/>
        <v>169</v>
      </c>
      <c r="E111" s="14">
        <f t="shared" si="5"/>
        <v>1482.7220179738349</v>
      </c>
      <c r="F111" s="14">
        <f t="shared" si="4"/>
        <v>8.4386078793628593E-3</v>
      </c>
    </row>
    <row r="112" spans="1:6" x14ac:dyDescent="0.3">
      <c r="A112" s="13">
        <v>110</v>
      </c>
      <c r="B112" s="14">
        <v>5.0029999999999998E-2</v>
      </c>
      <c r="C112" s="14">
        <v>20198</v>
      </c>
      <c r="D112" s="14">
        <f t="shared" si="3"/>
        <v>171</v>
      </c>
      <c r="E112" s="14">
        <f t="shared" si="5"/>
        <v>1512.3462295459931</v>
      </c>
      <c r="F112" s="14">
        <f t="shared" si="4"/>
        <v>8.538473061367154E-3</v>
      </c>
    </row>
    <row r="113" spans="1:6" x14ac:dyDescent="0.3">
      <c r="A113" s="13">
        <v>111</v>
      </c>
      <c r="B113" s="14">
        <v>5.1020000000000003E-2</v>
      </c>
      <c r="C113" s="14">
        <v>20199</v>
      </c>
      <c r="D113" s="14">
        <f t="shared" si="3"/>
        <v>172</v>
      </c>
      <c r="E113" s="14">
        <f t="shared" si="5"/>
        <v>1542.2727289913366</v>
      </c>
      <c r="F113" s="14">
        <f t="shared" si="4"/>
        <v>8.5884056523693013E-3</v>
      </c>
    </row>
    <row r="114" spans="1:6" x14ac:dyDescent="0.3">
      <c r="A114" s="13">
        <v>112</v>
      </c>
      <c r="B114" s="14">
        <v>5.2490000000000002E-2</v>
      </c>
      <c r="C114" s="14">
        <v>20201</v>
      </c>
      <c r="D114" s="14">
        <f t="shared" si="3"/>
        <v>174</v>
      </c>
      <c r="E114" s="14">
        <f t="shared" si="5"/>
        <v>1586.7090463495738</v>
      </c>
      <c r="F114" s="14">
        <f t="shared" si="4"/>
        <v>8.6882708343735959E-3</v>
      </c>
    </row>
    <row r="115" spans="1:6" x14ac:dyDescent="0.3">
      <c r="A115" s="13">
        <v>113</v>
      </c>
      <c r="B115" s="14">
        <v>5.2979999999999999E-2</v>
      </c>
      <c r="C115" s="14">
        <v>20203</v>
      </c>
      <c r="D115" s="14">
        <f t="shared" si="3"/>
        <v>176</v>
      </c>
      <c r="E115" s="14">
        <f t="shared" si="5"/>
        <v>1601.5211521356528</v>
      </c>
      <c r="F115" s="14">
        <f t="shared" si="4"/>
        <v>8.7881360163778906E-3</v>
      </c>
    </row>
    <row r="116" spans="1:6" x14ac:dyDescent="0.3">
      <c r="A116" s="13">
        <v>114</v>
      </c>
      <c r="B116" s="14">
        <v>5.3960000000000001E-2</v>
      </c>
      <c r="C116" s="14">
        <v>20204</v>
      </c>
      <c r="D116" s="14">
        <f t="shared" si="3"/>
        <v>177</v>
      </c>
      <c r="E116" s="14">
        <f t="shared" si="5"/>
        <v>1631.1453637078112</v>
      </c>
      <c r="F116" s="14">
        <f t="shared" si="4"/>
        <v>8.8380686073800362E-3</v>
      </c>
    </row>
    <row r="117" spans="1:6" x14ac:dyDescent="0.3">
      <c r="A117" s="13">
        <v>115</v>
      </c>
      <c r="B117" s="14">
        <v>5.4940000000000003E-2</v>
      </c>
      <c r="C117" s="14">
        <v>20206</v>
      </c>
      <c r="D117" s="14">
        <f t="shared" si="3"/>
        <v>179</v>
      </c>
      <c r="E117" s="14">
        <f t="shared" si="5"/>
        <v>1660.7695752799693</v>
      </c>
      <c r="F117" s="14">
        <f t="shared" si="4"/>
        <v>8.9379337893843308E-3</v>
      </c>
    </row>
    <row r="118" spans="1:6" x14ac:dyDescent="0.3">
      <c r="A118" s="13">
        <v>116</v>
      </c>
      <c r="B118" s="14">
        <v>5.4449999999999998E-2</v>
      </c>
      <c r="C118" s="14">
        <v>20208</v>
      </c>
      <c r="D118" s="14">
        <f t="shared" si="3"/>
        <v>181</v>
      </c>
      <c r="E118" s="14">
        <f t="shared" si="5"/>
        <v>1645.9574694938901</v>
      </c>
      <c r="F118" s="14">
        <f t="shared" si="4"/>
        <v>9.0377989713886255E-3</v>
      </c>
    </row>
    <row r="119" spans="1:6" x14ac:dyDescent="0.3">
      <c r="A119" s="13">
        <v>117</v>
      </c>
      <c r="B119" s="14">
        <v>5.4940000000000003E-2</v>
      </c>
      <c r="C119" s="14">
        <v>20209</v>
      </c>
      <c r="D119" s="14">
        <f t="shared" si="3"/>
        <v>182</v>
      </c>
      <c r="E119" s="14">
        <f t="shared" si="5"/>
        <v>1660.7695752799693</v>
      </c>
      <c r="F119" s="14">
        <f t="shared" si="4"/>
        <v>9.0877315623907728E-3</v>
      </c>
    </row>
    <row r="120" spans="1:6" x14ac:dyDescent="0.3">
      <c r="A120" s="13">
        <v>118</v>
      </c>
      <c r="B120" s="14">
        <v>5.543E-2</v>
      </c>
      <c r="C120" s="14">
        <v>20211</v>
      </c>
      <c r="D120" s="14">
        <f t="shared" si="3"/>
        <v>184</v>
      </c>
      <c r="E120" s="14">
        <f t="shared" si="5"/>
        <v>1675.5816810660483</v>
      </c>
      <c r="F120" s="14">
        <f t="shared" si="4"/>
        <v>9.1875967443950674E-3</v>
      </c>
    </row>
    <row r="121" spans="1:6" x14ac:dyDescent="0.3">
      <c r="A121" s="13">
        <v>119</v>
      </c>
      <c r="B121" s="14">
        <v>5.7389999999999997E-2</v>
      </c>
      <c r="C121" s="14">
        <v>20213</v>
      </c>
      <c r="D121" s="14">
        <f t="shared" si="3"/>
        <v>186</v>
      </c>
      <c r="E121" s="14">
        <f t="shared" si="5"/>
        <v>1734.8301042103647</v>
      </c>
      <c r="F121" s="14">
        <f t="shared" si="4"/>
        <v>9.2874619263993603E-3</v>
      </c>
    </row>
    <row r="122" spans="1:6" x14ac:dyDescent="0.3">
      <c r="A122" s="13">
        <v>120</v>
      </c>
      <c r="B122" s="14">
        <v>5.5919999999999997E-2</v>
      </c>
      <c r="C122" s="14">
        <v>20215</v>
      </c>
      <c r="D122" s="14">
        <f t="shared" si="3"/>
        <v>188</v>
      </c>
      <c r="E122" s="14">
        <f t="shared" si="5"/>
        <v>1690.3937868521273</v>
      </c>
      <c r="F122" s="14">
        <f t="shared" si="4"/>
        <v>9.387327108403655E-3</v>
      </c>
    </row>
    <row r="123" spans="1:6" x14ac:dyDescent="0.3">
      <c r="A123" s="13">
        <v>121</v>
      </c>
      <c r="B123" s="14">
        <v>5.8369999999999998E-2</v>
      </c>
      <c r="C123" s="14">
        <v>20216</v>
      </c>
      <c r="D123" s="14">
        <f t="shared" si="3"/>
        <v>189</v>
      </c>
      <c r="E123" s="14">
        <f t="shared" si="5"/>
        <v>1764.4543157825228</v>
      </c>
      <c r="F123" s="14">
        <f t="shared" si="4"/>
        <v>9.4372596994058023E-3</v>
      </c>
    </row>
    <row r="124" spans="1:6" x14ac:dyDescent="0.3">
      <c r="A124" s="13">
        <v>122</v>
      </c>
      <c r="B124" s="14">
        <v>5.8369999999999998E-2</v>
      </c>
      <c r="C124" s="14">
        <v>20218</v>
      </c>
      <c r="D124" s="14">
        <f t="shared" si="3"/>
        <v>191</v>
      </c>
      <c r="E124" s="14">
        <f t="shared" si="5"/>
        <v>1764.4543157825228</v>
      </c>
      <c r="F124" s="14">
        <f t="shared" si="4"/>
        <v>9.5371248814100969E-3</v>
      </c>
    </row>
    <row r="125" spans="1:6" x14ac:dyDescent="0.3">
      <c r="A125" s="13">
        <v>123</v>
      </c>
      <c r="B125" s="14">
        <v>5.7880000000000001E-2</v>
      </c>
      <c r="C125" s="14">
        <v>20220</v>
      </c>
      <c r="D125" s="14">
        <f t="shared" si="3"/>
        <v>193</v>
      </c>
      <c r="E125" s="14">
        <f t="shared" si="5"/>
        <v>1749.6422099964439</v>
      </c>
      <c r="F125" s="14">
        <f t="shared" si="4"/>
        <v>9.6369900634143899E-3</v>
      </c>
    </row>
    <row r="126" spans="1:6" x14ac:dyDescent="0.3">
      <c r="A126" s="13">
        <v>124</v>
      </c>
      <c r="B126" s="14">
        <v>5.8860000000000003E-2</v>
      </c>
      <c r="C126" s="14">
        <v>20221</v>
      </c>
      <c r="D126" s="14">
        <f t="shared" si="3"/>
        <v>194</v>
      </c>
      <c r="E126" s="14">
        <f t="shared" si="5"/>
        <v>1779.266421568602</v>
      </c>
      <c r="F126" s="14">
        <f t="shared" si="4"/>
        <v>9.6869226544165372E-3</v>
      </c>
    </row>
    <row r="127" spans="1:6" x14ac:dyDescent="0.3">
      <c r="A127" s="13">
        <v>125</v>
      </c>
      <c r="B127" s="14">
        <v>6.0830000000000002E-2</v>
      </c>
      <c r="C127" s="14">
        <v>20223</v>
      </c>
      <c r="D127" s="14">
        <f t="shared" si="3"/>
        <v>196</v>
      </c>
      <c r="E127" s="14">
        <f t="shared" si="5"/>
        <v>1838.8171325861035</v>
      </c>
      <c r="F127" s="14">
        <f t="shared" si="4"/>
        <v>9.7867878364208318E-3</v>
      </c>
    </row>
    <row r="128" spans="1:6" x14ac:dyDescent="0.3">
      <c r="A128" s="13">
        <v>126</v>
      </c>
      <c r="B128" s="14">
        <v>6.1809999999999997E-2</v>
      </c>
      <c r="C128" s="14">
        <v>20225</v>
      </c>
      <c r="D128" s="14">
        <f t="shared" si="3"/>
        <v>198</v>
      </c>
      <c r="E128" s="14">
        <f t="shared" si="5"/>
        <v>1868.4413441582617</v>
      </c>
      <c r="F128" s="14">
        <f t="shared" si="4"/>
        <v>9.8866530184251265E-3</v>
      </c>
    </row>
    <row r="129" spans="1:6" x14ac:dyDescent="0.3">
      <c r="A129" s="13">
        <v>127</v>
      </c>
      <c r="B129" s="14">
        <v>6.0830000000000002E-2</v>
      </c>
      <c r="C129" s="14">
        <v>20227</v>
      </c>
      <c r="D129" s="14">
        <f t="shared" si="3"/>
        <v>200</v>
      </c>
      <c r="E129" s="14">
        <f t="shared" si="5"/>
        <v>1838.8171325861035</v>
      </c>
      <c r="F129" s="14">
        <f t="shared" si="4"/>
        <v>9.9865182004294211E-3</v>
      </c>
    </row>
    <row r="130" spans="1:6" x14ac:dyDescent="0.3">
      <c r="A130" s="13">
        <v>128</v>
      </c>
      <c r="B130" s="14">
        <v>6.2789999999999999E-2</v>
      </c>
      <c r="C130" s="14">
        <v>20228</v>
      </c>
      <c r="D130" s="14">
        <f t="shared" si="3"/>
        <v>201</v>
      </c>
      <c r="E130" s="14">
        <f t="shared" si="5"/>
        <v>1898.0655557304199</v>
      </c>
      <c r="F130" s="14">
        <f t="shared" si="4"/>
        <v>1.0036450791431567E-2</v>
      </c>
    </row>
    <row r="131" spans="1:6" x14ac:dyDescent="0.3">
      <c r="A131" s="13">
        <v>129</v>
      </c>
      <c r="B131" s="14">
        <v>6.3769999999999993E-2</v>
      </c>
      <c r="C131" s="14">
        <v>20230</v>
      </c>
      <c r="D131" s="14">
        <f t="shared" si="3"/>
        <v>203</v>
      </c>
      <c r="E131" s="14">
        <f t="shared" si="5"/>
        <v>1927.6897673025778</v>
      </c>
      <c r="F131" s="14">
        <f t="shared" si="4"/>
        <v>1.0136315973435861E-2</v>
      </c>
    </row>
    <row r="132" spans="1:6" x14ac:dyDescent="0.3">
      <c r="A132" s="13">
        <v>130</v>
      </c>
      <c r="B132" s="14">
        <v>6.3769999999999993E-2</v>
      </c>
      <c r="C132" s="14">
        <v>20232</v>
      </c>
      <c r="D132" s="14">
        <f t="shared" ref="D132:D195" si="6">C132-$C$3</f>
        <v>205</v>
      </c>
      <c r="E132" s="14">
        <f t="shared" si="5"/>
        <v>1927.6897673025778</v>
      </c>
      <c r="F132" s="14">
        <f t="shared" ref="F132:F195" si="7">D132/$C$3</f>
        <v>1.0236181155440156E-2</v>
      </c>
    </row>
    <row r="133" spans="1:6" x14ac:dyDescent="0.3">
      <c r="A133" s="13">
        <v>131</v>
      </c>
      <c r="B133" s="14">
        <v>6.5240000000000006E-2</v>
      </c>
      <c r="C133" s="14">
        <v>20233</v>
      </c>
      <c r="D133" s="14">
        <f t="shared" si="6"/>
        <v>206</v>
      </c>
      <c r="E133" s="14">
        <f t="shared" ref="E133:E196" si="8">B133/$J$5</f>
        <v>1972.1260846608154</v>
      </c>
      <c r="F133" s="14">
        <f t="shared" si="7"/>
        <v>1.0286113746442303E-2</v>
      </c>
    </row>
    <row r="134" spans="1:6" x14ac:dyDescent="0.3">
      <c r="A134" s="13">
        <v>132</v>
      </c>
      <c r="B134" s="14">
        <v>6.4750000000000002E-2</v>
      </c>
      <c r="C134" s="14">
        <v>20235</v>
      </c>
      <c r="D134" s="14">
        <f t="shared" si="6"/>
        <v>208</v>
      </c>
      <c r="E134" s="14">
        <f t="shared" si="8"/>
        <v>1957.3139788747362</v>
      </c>
      <c r="F134" s="14">
        <f t="shared" si="7"/>
        <v>1.0385978928446598E-2</v>
      </c>
    </row>
    <row r="135" spans="1:6" x14ac:dyDescent="0.3">
      <c r="A135" s="13">
        <v>133</v>
      </c>
      <c r="B135" s="14">
        <v>6.5729999999999997E-2</v>
      </c>
      <c r="C135" s="14">
        <v>20237</v>
      </c>
      <c r="D135" s="14">
        <f t="shared" si="6"/>
        <v>210</v>
      </c>
      <c r="E135" s="14">
        <f t="shared" si="8"/>
        <v>1986.9381904468942</v>
      </c>
      <c r="F135" s="14">
        <f t="shared" si="7"/>
        <v>1.0485844110450891E-2</v>
      </c>
    </row>
    <row r="136" spans="1:6" x14ac:dyDescent="0.3">
      <c r="A136" s="13">
        <v>134</v>
      </c>
      <c r="B136" s="14">
        <v>6.5240000000000006E-2</v>
      </c>
      <c r="C136" s="14">
        <v>20238</v>
      </c>
      <c r="D136" s="14">
        <f t="shared" si="6"/>
        <v>211</v>
      </c>
      <c r="E136" s="14">
        <f t="shared" si="8"/>
        <v>1972.1260846608154</v>
      </c>
      <c r="F136" s="14">
        <f t="shared" si="7"/>
        <v>1.0535776701453038E-2</v>
      </c>
    </row>
    <row r="137" spans="1:6" x14ac:dyDescent="0.3">
      <c r="A137" s="13">
        <v>135</v>
      </c>
      <c r="B137" s="14">
        <v>6.769E-2</v>
      </c>
      <c r="C137" s="14">
        <v>20240</v>
      </c>
      <c r="D137" s="14">
        <f t="shared" si="6"/>
        <v>213</v>
      </c>
      <c r="E137" s="14">
        <f t="shared" si="8"/>
        <v>2046.1866135912107</v>
      </c>
      <c r="F137" s="14">
        <f t="shared" si="7"/>
        <v>1.0635641883457333E-2</v>
      </c>
    </row>
    <row r="138" spans="1:6" x14ac:dyDescent="0.3">
      <c r="A138" s="13">
        <v>136</v>
      </c>
      <c r="B138" s="14">
        <v>6.7199999999999996E-2</v>
      </c>
      <c r="C138" s="14">
        <v>20242</v>
      </c>
      <c r="D138" s="14">
        <f t="shared" si="6"/>
        <v>215</v>
      </c>
      <c r="E138" s="14">
        <f t="shared" si="8"/>
        <v>2031.3745078051315</v>
      </c>
      <c r="F138" s="14">
        <f t="shared" si="7"/>
        <v>1.0735507065461627E-2</v>
      </c>
    </row>
    <row r="139" spans="1:6" x14ac:dyDescent="0.3">
      <c r="A139" s="13">
        <v>137</v>
      </c>
      <c r="B139" s="14">
        <v>6.9169999999999995E-2</v>
      </c>
      <c r="C139" s="14">
        <v>20244</v>
      </c>
      <c r="D139" s="14">
        <f t="shared" si="6"/>
        <v>217</v>
      </c>
      <c r="E139" s="14">
        <f t="shared" si="8"/>
        <v>2090.9252188226333</v>
      </c>
      <c r="F139" s="14">
        <f t="shared" si="7"/>
        <v>1.083537224746592E-2</v>
      </c>
    </row>
    <row r="140" spans="1:6" x14ac:dyDescent="0.3">
      <c r="A140" s="13">
        <v>138</v>
      </c>
      <c r="B140" s="14">
        <v>6.966E-2</v>
      </c>
      <c r="C140" s="14">
        <v>20245</v>
      </c>
      <c r="D140" s="14">
        <f t="shared" si="6"/>
        <v>218</v>
      </c>
      <c r="E140" s="14">
        <f t="shared" si="8"/>
        <v>2105.7373246087122</v>
      </c>
      <c r="F140" s="14">
        <f t="shared" si="7"/>
        <v>1.0885304838468068E-2</v>
      </c>
    </row>
    <row r="141" spans="1:6" x14ac:dyDescent="0.3">
      <c r="A141" s="13">
        <v>139</v>
      </c>
      <c r="B141" s="14">
        <v>6.966E-2</v>
      </c>
      <c r="C141" s="14">
        <v>20247</v>
      </c>
      <c r="D141" s="14">
        <f t="shared" si="6"/>
        <v>220</v>
      </c>
      <c r="E141" s="14">
        <f t="shared" si="8"/>
        <v>2105.7373246087122</v>
      </c>
      <c r="F141" s="14">
        <f t="shared" si="7"/>
        <v>1.0985170020472362E-2</v>
      </c>
    </row>
    <row r="142" spans="1:6" x14ac:dyDescent="0.3">
      <c r="A142" s="13">
        <v>140</v>
      </c>
      <c r="B142" s="14">
        <v>6.966E-2</v>
      </c>
      <c r="C142" s="14">
        <v>20249</v>
      </c>
      <c r="D142" s="14">
        <f t="shared" si="6"/>
        <v>222</v>
      </c>
      <c r="E142" s="14">
        <f t="shared" si="8"/>
        <v>2105.7373246087122</v>
      </c>
      <c r="F142" s="14">
        <f t="shared" si="7"/>
        <v>1.1085035202476657E-2</v>
      </c>
    </row>
    <row r="143" spans="1:6" x14ac:dyDescent="0.3">
      <c r="A143" s="13">
        <v>141</v>
      </c>
      <c r="B143" s="14">
        <v>7.1620000000000003E-2</v>
      </c>
      <c r="C143" s="14">
        <v>20251</v>
      </c>
      <c r="D143" s="14">
        <f t="shared" si="6"/>
        <v>224</v>
      </c>
      <c r="E143" s="14">
        <f t="shared" si="8"/>
        <v>2164.9857477530286</v>
      </c>
      <c r="F143" s="14">
        <f t="shared" si="7"/>
        <v>1.118490038448095E-2</v>
      </c>
    </row>
    <row r="144" spans="1:6" x14ac:dyDescent="0.3">
      <c r="A144" s="13">
        <v>142</v>
      </c>
      <c r="B144" s="14">
        <v>7.2109999999999994E-2</v>
      </c>
      <c r="C144" s="14">
        <v>20252</v>
      </c>
      <c r="D144" s="14">
        <f t="shared" si="6"/>
        <v>225</v>
      </c>
      <c r="E144" s="14">
        <f t="shared" si="8"/>
        <v>2179.7978535391076</v>
      </c>
      <c r="F144" s="14">
        <f t="shared" si="7"/>
        <v>1.1234832975483097E-2</v>
      </c>
    </row>
    <row r="145" spans="1:6" x14ac:dyDescent="0.3">
      <c r="A145" s="13">
        <v>143</v>
      </c>
      <c r="B145" s="14">
        <v>7.1129999999999999E-2</v>
      </c>
      <c r="C145" s="14">
        <v>20254</v>
      </c>
      <c r="D145" s="14">
        <f t="shared" si="6"/>
        <v>227</v>
      </c>
      <c r="E145" s="14">
        <f t="shared" si="8"/>
        <v>2150.1736419669496</v>
      </c>
      <c r="F145" s="14">
        <f t="shared" si="7"/>
        <v>1.1334698157487392E-2</v>
      </c>
    </row>
    <row r="146" spans="1:6" x14ac:dyDescent="0.3">
      <c r="A146" s="13">
        <v>144</v>
      </c>
      <c r="B146" s="14">
        <v>7.3580000000000007E-2</v>
      </c>
      <c r="C146" s="14">
        <v>20256</v>
      </c>
      <c r="D146" s="14">
        <f t="shared" si="6"/>
        <v>229</v>
      </c>
      <c r="E146" s="14">
        <f t="shared" si="8"/>
        <v>2224.2341708973454</v>
      </c>
      <c r="F146" s="14">
        <f t="shared" si="7"/>
        <v>1.1434563339491687E-2</v>
      </c>
    </row>
    <row r="147" spans="1:6" x14ac:dyDescent="0.3">
      <c r="A147" s="13">
        <v>145</v>
      </c>
      <c r="B147" s="14">
        <v>7.603E-2</v>
      </c>
      <c r="C147" s="14">
        <v>20258</v>
      </c>
      <c r="D147" s="14">
        <f t="shared" si="6"/>
        <v>231</v>
      </c>
      <c r="E147" s="14">
        <f t="shared" si="8"/>
        <v>2298.2946998277403</v>
      </c>
      <c r="F147" s="14">
        <f t="shared" si="7"/>
        <v>1.1534428521495981E-2</v>
      </c>
    </row>
    <row r="148" spans="1:6" x14ac:dyDescent="0.3">
      <c r="A148" s="13">
        <v>146</v>
      </c>
      <c r="B148" s="14">
        <v>7.5050000000000006E-2</v>
      </c>
      <c r="C148" s="14">
        <v>20259</v>
      </c>
      <c r="D148" s="14">
        <f t="shared" si="6"/>
        <v>232</v>
      </c>
      <c r="E148" s="14">
        <f t="shared" si="8"/>
        <v>2268.6704882555823</v>
      </c>
      <c r="F148" s="14">
        <f t="shared" si="7"/>
        <v>1.1584361112498127E-2</v>
      </c>
    </row>
    <row r="149" spans="1:6" x14ac:dyDescent="0.3">
      <c r="A149" s="13">
        <v>147</v>
      </c>
      <c r="B149" s="14">
        <v>7.603E-2</v>
      </c>
      <c r="C149" s="14">
        <v>20261</v>
      </c>
      <c r="D149" s="14">
        <f t="shared" si="6"/>
        <v>234</v>
      </c>
      <c r="E149" s="14">
        <f t="shared" si="8"/>
        <v>2298.2946998277403</v>
      </c>
      <c r="F149" s="14">
        <f t="shared" si="7"/>
        <v>1.1684226294502421E-2</v>
      </c>
    </row>
    <row r="150" spans="1:6" x14ac:dyDescent="0.3">
      <c r="A150" s="13">
        <v>148</v>
      </c>
      <c r="B150" s="14">
        <v>7.6520000000000005E-2</v>
      </c>
      <c r="C150" s="14">
        <v>20263</v>
      </c>
      <c r="D150" s="14">
        <f t="shared" si="6"/>
        <v>236</v>
      </c>
      <c r="E150" s="14">
        <f t="shared" si="8"/>
        <v>2313.1068056138197</v>
      </c>
      <c r="F150" s="14">
        <f t="shared" si="7"/>
        <v>1.1784091476506716E-2</v>
      </c>
    </row>
    <row r="151" spans="1:6" x14ac:dyDescent="0.3">
      <c r="A151" s="13">
        <v>149</v>
      </c>
      <c r="B151" s="14">
        <v>7.7990000000000004E-2</v>
      </c>
      <c r="C151" s="14">
        <v>20264</v>
      </c>
      <c r="D151" s="14">
        <f t="shared" si="6"/>
        <v>237</v>
      </c>
      <c r="E151" s="14">
        <f t="shared" si="8"/>
        <v>2357.5431229720571</v>
      </c>
      <c r="F151" s="14">
        <f t="shared" si="7"/>
        <v>1.1834024067508863E-2</v>
      </c>
    </row>
    <row r="152" spans="1:6" x14ac:dyDescent="0.3">
      <c r="A152" s="13">
        <v>150</v>
      </c>
      <c r="B152" s="14">
        <v>7.6520000000000005E-2</v>
      </c>
      <c r="C152" s="14">
        <v>20266</v>
      </c>
      <c r="D152" s="14">
        <f t="shared" si="6"/>
        <v>239</v>
      </c>
      <c r="E152" s="14">
        <f t="shared" si="8"/>
        <v>2313.1068056138197</v>
      </c>
      <c r="F152" s="14">
        <f t="shared" si="7"/>
        <v>1.1933889249513158E-2</v>
      </c>
    </row>
    <row r="153" spans="1:6" x14ac:dyDescent="0.3">
      <c r="A153" s="13">
        <v>151</v>
      </c>
      <c r="B153" s="14">
        <v>7.8979999999999995E-2</v>
      </c>
      <c r="C153" s="14">
        <v>20268</v>
      </c>
      <c r="D153" s="14">
        <f t="shared" si="6"/>
        <v>241</v>
      </c>
      <c r="E153" s="14">
        <f t="shared" si="8"/>
        <v>2387.4696224173999</v>
      </c>
      <c r="F153" s="14">
        <f t="shared" si="7"/>
        <v>1.2033754431517451E-2</v>
      </c>
    </row>
    <row r="154" spans="1:6" x14ac:dyDescent="0.3">
      <c r="A154" s="13">
        <v>152</v>
      </c>
      <c r="B154" s="14">
        <v>7.9469999999999999E-2</v>
      </c>
      <c r="C154" s="14">
        <v>20270</v>
      </c>
      <c r="D154" s="14">
        <f t="shared" si="6"/>
        <v>243</v>
      </c>
      <c r="E154" s="14">
        <f t="shared" si="8"/>
        <v>2402.2817282034794</v>
      </c>
      <c r="F154" s="14">
        <f t="shared" si="7"/>
        <v>1.2133619613521746E-2</v>
      </c>
    </row>
    <row r="155" spans="1:6" x14ac:dyDescent="0.3">
      <c r="A155" s="13">
        <v>153</v>
      </c>
      <c r="B155" s="14">
        <v>8.0449999999999994E-2</v>
      </c>
      <c r="C155" s="14">
        <v>20271</v>
      </c>
      <c r="D155" s="14">
        <f t="shared" si="6"/>
        <v>244</v>
      </c>
      <c r="E155" s="14">
        <f t="shared" si="8"/>
        <v>2431.9059397756373</v>
      </c>
      <c r="F155" s="14">
        <f t="shared" si="7"/>
        <v>1.2183552204523893E-2</v>
      </c>
    </row>
    <row r="156" spans="1:6" x14ac:dyDescent="0.3">
      <c r="A156" s="13">
        <v>154</v>
      </c>
      <c r="B156" s="14">
        <v>7.9469999999999999E-2</v>
      </c>
      <c r="C156" s="14">
        <v>20273</v>
      </c>
      <c r="D156" s="14">
        <f t="shared" si="6"/>
        <v>246</v>
      </c>
      <c r="E156" s="14">
        <f t="shared" si="8"/>
        <v>2402.2817282034794</v>
      </c>
      <c r="F156" s="14">
        <f t="shared" si="7"/>
        <v>1.2283417386528188E-2</v>
      </c>
    </row>
    <row r="157" spans="1:6" x14ac:dyDescent="0.3">
      <c r="A157" s="13">
        <v>155</v>
      </c>
      <c r="B157" s="14">
        <v>8.0939999999999998E-2</v>
      </c>
      <c r="C157" s="14">
        <v>20275</v>
      </c>
      <c r="D157" s="14">
        <f t="shared" si="6"/>
        <v>248</v>
      </c>
      <c r="E157" s="14">
        <f t="shared" si="8"/>
        <v>2446.7180455617167</v>
      </c>
      <c r="F157" s="14">
        <f t="shared" si="7"/>
        <v>1.238328256853248E-2</v>
      </c>
    </row>
    <row r="158" spans="1:6" x14ac:dyDescent="0.3">
      <c r="A158" s="13">
        <v>156</v>
      </c>
      <c r="B158" s="14">
        <v>8.1920000000000007E-2</v>
      </c>
      <c r="C158" s="14">
        <v>20277</v>
      </c>
      <c r="D158" s="14">
        <f t="shared" si="6"/>
        <v>250</v>
      </c>
      <c r="E158" s="14">
        <f t="shared" si="8"/>
        <v>2476.3422571338751</v>
      </c>
      <c r="F158" s="14">
        <f t="shared" si="7"/>
        <v>1.2483147750536775E-2</v>
      </c>
    </row>
    <row r="159" spans="1:6" x14ac:dyDescent="0.3">
      <c r="A159" s="13">
        <v>157</v>
      </c>
      <c r="B159" s="14">
        <v>8.3879999999999996E-2</v>
      </c>
      <c r="C159" s="14">
        <v>20279</v>
      </c>
      <c r="D159" s="14">
        <f t="shared" si="6"/>
        <v>252</v>
      </c>
      <c r="E159" s="14">
        <f t="shared" si="8"/>
        <v>2535.590680278191</v>
      </c>
      <c r="F159" s="14">
        <f t="shared" si="7"/>
        <v>1.258301293254107E-2</v>
      </c>
    </row>
    <row r="160" spans="1:6" x14ac:dyDescent="0.3">
      <c r="A160" s="13">
        <v>158</v>
      </c>
      <c r="B160" s="14">
        <v>8.1920000000000007E-2</v>
      </c>
      <c r="C160" s="14">
        <v>20280</v>
      </c>
      <c r="D160" s="14">
        <f t="shared" si="6"/>
        <v>253</v>
      </c>
      <c r="E160" s="14">
        <f t="shared" si="8"/>
        <v>2476.3422571338751</v>
      </c>
      <c r="F160" s="14">
        <f t="shared" si="7"/>
        <v>1.2632945523543217E-2</v>
      </c>
    </row>
    <row r="161" spans="1:6" x14ac:dyDescent="0.3">
      <c r="A161" s="13">
        <v>159</v>
      </c>
      <c r="B161" s="14">
        <v>8.4370000000000001E-2</v>
      </c>
      <c r="C161" s="14">
        <v>20282</v>
      </c>
      <c r="D161" s="14">
        <f t="shared" si="6"/>
        <v>255</v>
      </c>
      <c r="E161" s="14">
        <f t="shared" si="8"/>
        <v>2550.40278606427</v>
      </c>
      <c r="F161" s="14">
        <f t="shared" si="7"/>
        <v>1.2732810705547512E-2</v>
      </c>
    </row>
    <row r="162" spans="1:6" x14ac:dyDescent="0.3">
      <c r="A162" s="13">
        <v>160</v>
      </c>
      <c r="B162" s="14">
        <v>8.6330000000000004E-2</v>
      </c>
      <c r="C162" s="14">
        <v>20284</v>
      </c>
      <c r="D162" s="14">
        <f t="shared" si="6"/>
        <v>257</v>
      </c>
      <c r="E162" s="14">
        <f t="shared" si="8"/>
        <v>2609.6512092085868</v>
      </c>
      <c r="F162" s="14">
        <f t="shared" si="7"/>
        <v>1.2832675887551805E-2</v>
      </c>
    </row>
    <row r="163" spans="1:6" x14ac:dyDescent="0.3">
      <c r="A163" s="13">
        <v>161</v>
      </c>
      <c r="B163" s="14">
        <v>8.6330000000000004E-2</v>
      </c>
      <c r="C163" s="14">
        <v>20286</v>
      </c>
      <c r="D163" s="14">
        <f t="shared" si="6"/>
        <v>259</v>
      </c>
      <c r="E163" s="14">
        <f t="shared" si="8"/>
        <v>2609.6512092085868</v>
      </c>
      <c r="F163" s="14">
        <f t="shared" si="7"/>
        <v>1.2932541069556099E-2</v>
      </c>
    </row>
    <row r="164" spans="1:6" x14ac:dyDescent="0.3">
      <c r="A164" s="13">
        <v>162</v>
      </c>
      <c r="B164" s="14">
        <v>8.5349999999999995E-2</v>
      </c>
      <c r="C164" s="14">
        <v>20287</v>
      </c>
      <c r="D164" s="14">
        <f t="shared" si="6"/>
        <v>260</v>
      </c>
      <c r="E164" s="14">
        <f t="shared" si="8"/>
        <v>2580.0269976364284</v>
      </c>
      <c r="F164" s="14">
        <f t="shared" si="7"/>
        <v>1.2982473660558247E-2</v>
      </c>
    </row>
    <row r="165" spans="1:6" x14ac:dyDescent="0.3">
      <c r="A165" s="13">
        <v>163</v>
      </c>
      <c r="B165" s="14">
        <v>8.6819999999999994E-2</v>
      </c>
      <c r="C165" s="14">
        <v>20289</v>
      </c>
      <c r="D165" s="14">
        <f t="shared" si="6"/>
        <v>262</v>
      </c>
      <c r="E165" s="14">
        <f t="shared" si="8"/>
        <v>2624.4633149946653</v>
      </c>
      <c r="F165" s="14">
        <f t="shared" si="7"/>
        <v>1.3082338842562541E-2</v>
      </c>
    </row>
    <row r="166" spans="1:6" x14ac:dyDescent="0.3">
      <c r="A166" s="13">
        <v>164</v>
      </c>
      <c r="B166" s="14">
        <v>8.6330000000000004E-2</v>
      </c>
      <c r="C166" s="14">
        <v>20291</v>
      </c>
      <c r="D166" s="14">
        <f t="shared" si="6"/>
        <v>264</v>
      </c>
      <c r="E166" s="14">
        <f t="shared" si="8"/>
        <v>2609.6512092085868</v>
      </c>
      <c r="F166" s="14">
        <f t="shared" si="7"/>
        <v>1.3182204024566834E-2</v>
      </c>
    </row>
    <row r="167" spans="1:6" x14ac:dyDescent="0.3">
      <c r="A167" s="13">
        <v>165</v>
      </c>
      <c r="B167" s="14">
        <v>8.9279999999999998E-2</v>
      </c>
      <c r="C167" s="14">
        <v>20293</v>
      </c>
      <c r="D167" s="14">
        <f t="shared" si="6"/>
        <v>266</v>
      </c>
      <c r="E167" s="14">
        <f t="shared" si="8"/>
        <v>2698.826131798246</v>
      </c>
      <c r="F167" s="14">
        <f t="shared" si="7"/>
        <v>1.3282069206571129E-2</v>
      </c>
    </row>
    <row r="168" spans="1:6" x14ac:dyDescent="0.3">
      <c r="A168" s="13">
        <v>166</v>
      </c>
      <c r="B168" s="14">
        <v>8.8789999999999994E-2</v>
      </c>
      <c r="C168" s="14">
        <v>20295</v>
      </c>
      <c r="D168" s="14">
        <f t="shared" si="6"/>
        <v>268</v>
      </c>
      <c r="E168" s="14">
        <f t="shared" si="8"/>
        <v>2684.0140260121671</v>
      </c>
      <c r="F168" s="14">
        <f t="shared" si="7"/>
        <v>1.3381934388575423E-2</v>
      </c>
    </row>
    <row r="169" spans="1:6" x14ac:dyDescent="0.3">
      <c r="A169" s="13">
        <v>167</v>
      </c>
      <c r="B169" s="14">
        <v>9.0260000000000007E-2</v>
      </c>
      <c r="C169" s="14">
        <v>20296</v>
      </c>
      <c r="D169" s="14">
        <f t="shared" si="6"/>
        <v>269</v>
      </c>
      <c r="E169" s="14">
        <f t="shared" si="8"/>
        <v>2728.4503433704049</v>
      </c>
      <c r="F169" s="14">
        <f t="shared" si="7"/>
        <v>1.3431866979577571E-2</v>
      </c>
    </row>
    <row r="170" spans="1:6" x14ac:dyDescent="0.3">
      <c r="A170" s="13">
        <v>168</v>
      </c>
      <c r="B170" s="14">
        <v>9.0749999999999997E-2</v>
      </c>
      <c r="C170" s="14">
        <v>20298</v>
      </c>
      <c r="D170" s="14">
        <f t="shared" si="6"/>
        <v>271</v>
      </c>
      <c r="E170" s="14">
        <f t="shared" si="8"/>
        <v>2743.2624491564834</v>
      </c>
      <c r="F170" s="14">
        <f t="shared" si="7"/>
        <v>1.3531732161581864E-2</v>
      </c>
    </row>
    <row r="171" spans="1:6" x14ac:dyDescent="0.3">
      <c r="A171" s="13">
        <v>169</v>
      </c>
      <c r="B171" s="14">
        <v>9.0749999999999997E-2</v>
      </c>
      <c r="C171" s="14">
        <v>20300</v>
      </c>
      <c r="D171" s="14">
        <f t="shared" si="6"/>
        <v>273</v>
      </c>
      <c r="E171" s="14">
        <f t="shared" si="8"/>
        <v>2743.2624491564834</v>
      </c>
      <c r="F171" s="14">
        <f t="shared" si="7"/>
        <v>1.3631597343586158E-2</v>
      </c>
    </row>
    <row r="172" spans="1:6" x14ac:dyDescent="0.3">
      <c r="A172" s="13">
        <v>170</v>
      </c>
      <c r="B172" s="14">
        <v>9.2219999999999996E-2</v>
      </c>
      <c r="C172" s="14">
        <v>20302</v>
      </c>
      <c r="D172" s="14">
        <f t="shared" si="6"/>
        <v>275</v>
      </c>
      <c r="E172" s="14">
        <f t="shared" si="8"/>
        <v>2787.6987665147208</v>
      </c>
      <c r="F172" s="14">
        <f t="shared" si="7"/>
        <v>1.3731462525590453E-2</v>
      </c>
    </row>
    <row r="173" spans="1:6" x14ac:dyDescent="0.3">
      <c r="A173" s="13">
        <v>171</v>
      </c>
      <c r="B173" s="14">
        <v>9.3200000000000005E-2</v>
      </c>
      <c r="C173" s="14">
        <v>20303</v>
      </c>
      <c r="D173" s="14">
        <f t="shared" si="6"/>
        <v>276</v>
      </c>
      <c r="E173" s="14">
        <f t="shared" si="8"/>
        <v>2817.3229780868792</v>
      </c>
      <c r="F173" s="14">
        <f t="shared" si="7"/>
        <v>1.37813951165926E-2</v>
      </c>
    </row>
    <row r="174" spans="1:6" x14ac:dyDescent="0.3">
      <c r="A174" s="13">
        <v>172</v>
      </c>
      <c r="B174" s="14">
        <v>9.3689999999999996E-2</v>
      </c>
      <c r="C174" s="14">
        <v>20305</v>
      </c>
      <c r="D174" s="14">
        <f t="shared" si="6"/>
        <v>278</v>
      </c>
      <c r="E174" s="14">
        <f t="shared" si="8"/>
        <v>2832.1350838729581</v>
      </c>
      <c r="F174" s="14">
        <f t="shared" si="7"/>
        <v>1.3881260298596895E-2</v>
      </c>
    </row>
    <row r="175" spans="1:6" x14ac:dyDescent="0.3">
      <c r="A175" s="13">
        <v>173</v>
      </c>
      <c r="B175" s="14">
        <v>9.2710000000000001E-2</v>
      </c>
      <c r="C175" s="14">
        <v>20307</v>
      </c>
      <c r="D175" s="14">
        <f t="shared" si="6"/>
        <v>280</v>
      </c>
      <c r="E175" s="14">
        <f t="shared" si="8"/>
        <v>2802.5108723007997</v>
      </c>
      <c r="F175" s="14">
        <f t="shared" si="7"/>
        <v>1.3981125480601188E-2</v>
      </c>
    </row>
    <row r="176" spans="1:6" x14ac:dyDescent="0.3">
      <c r="A176" s="13">
        <v>174</v>
      </c>
      <c r="B176" s="14">
        <v>9.6140000000000003E-2</v>
      </c>
      <c r="C176" s="14">
        <v>20309</v>
      </c>
      <c r="D176" s="14">
        <f t="shared" si="6"/>
        <v>282</v>
      </c>
      <c r="E176" s="14">
        <f t="shared" si="8"/>
        <v>2906.1956128033535</v>
      </c>
      <c r="F176" s="14">
        <f t="shared" si="7"/>
        <v>1.4080990662605482E-2</v>
      </c>
    </row>
    <row r="177" spans="1:6" x14ac:dyDescent="0.3">
      <c r="A177" s="13">
        <v>175</v>
      </c>
      <c r="B177" s="14">
        <v>9.6140000000000003E-2</v>
      </c>
      <c r="C177" s="14">
        <v>20311</v>
      </c>
      <c r="D177" s="14">
        <f t="shared" si="6"/>
        <v>284</v>
      </c>
      <c r="E177" s="14">
        <f t="shared" si="8"/>
        <v>2906.1956128033535</v>
      </c>
      <c r="F177" s="14">
        <f t="shared" si="7"/>
        <v>1.4180855844609777E-2</v>
      </c>
    </row>
    <row r="178" spans="1:6" x14ac:dyDescent="0.3">
      <c r="A178" s="13">
        <v>176</v>
      </c>
      <c r="B178" s="14">
        <v>9.8110000000000003E-2</v>
      </c>
      <c r="C178" s="14">
        <v>20312</v>
      </c>
      <c r="D178" s="14">
        <f t="shared" si="6"/>
        <v>285</v>
      </c>
      <c r="E178" s="14">
        <f t="shared" si="8"/>
        <v>2965.7463238208552</v>
      </c>
      <c r="F178" s="14">
        <f t="shared" si="7"/>
        <v>1.4230788435611924E-2</v>
      </c>
    </row>
    <row r="179" spans="1:6" x14ac:dyDescent="0.3">
      <c r="A179" s="13">
        <v>177</v>
      </c>
      <c r="B179" s="14">
        <v>9.9580000000000002E-2</v>
      </c>
      <c r="C179" s="14">
        <v>20314</v>
      </c>
      <c r="D179" s="14">
        <f t="shared" si="6"/>
        <v>287</v>
      </c>
      <c r="E179" s="14">
        <f t="shared" si="8"/>
        <v>3010.1826411790926</v>
      </c>
      <c r="F179" s="14">
        <f t="shared" si="7"/>
        <v>1.4330653617616217E-2</v>
      </c>
    </row>
    <row r="180" spans="1:6" x14ac:dyDescent="0.3">
      <c r="A180" s="13">
        <v>178</v>
      </c>
      <c r="B180" s="14">
        <v>9.8110000000000003E-2</v>
      </c>
      <c r="C180" s="14">
        <v>20316</v>
      </c>
      <c r="D180" s="14">
        <f t="shared" si="6"/>
        <v>289</v>
      </c>
      <c r="E180" s="14">
        <f t="shared" si="8"/>
        <v>2965.7463238208552</v>
      </c>
      <c r="F180" s="14">
        <f t="shared" si="7"/>
        <v>1.4430518799620512E-2</v>
      </c>
    </row>
    <row r="181" spans="1:6" x14ac:dyDescent="0.3">
      <c r="A181" s="13">
        <v>179</v>
      </c>
      <c r="B181" s="14">
        <v>9.9089999999999998E-2</v>
      </c>
      <c r="C181" s="14">
        <v>20318</v>
      </c>
      <c r="D181" s="14">
        <f t="shared" si="6"/>
        <v>291</v>
      </c>
      <c r="E181" s="14">
        <f t="shared" si="8"/>
        <v>2995.3705353930131</v>
      </c>
      <c r="F181" s="14">
        <f t="shared" si="7"/>
        <v>1.4530383981624807E-2</v>
      </c>
    </row>
    <row r="182" spans="1:6" x14ac:dyDescent="0.3">
      <c r="A182" s="13">
        <v>180</v>
      </c>
      <c r="B182" s="14">
        <v>0.10009999999999999</v>
      </c>
      <c r="C182" s="14">
        <v>20320</v>
      </c>
      <c r="D182" s="14">
        <f t="shared" si="6"/>
        <v>293</v>
      </c>
      <c r="E182" s="14">
        <f t="shared" si="8"/>
        <v>3025.9016105847272</v>
      </c>
      <c r="F182" s="14">
        <f t="shared" si="7"/>
        <v>1.4630249163629101E-2</v>
      </c>
    </row>
    <row r="183" spans="1:6" x14ac:dyDescent="0.3">
      <c r="A183" s="13">
        <v>181</v>
      </c>
      <c r="B183" s="14">
        <v>0.10009999999999999</v>
      </c>
      <c r="C183" s="14">
        <v>20322</v>
      </c>
      <c r="D183" s="14">
        <f t="shared" si="6"/>
        <v>295</v>
      </c>
      <c r="E183" s="14">
        <f t="shared" si="8"/>
        <v>3025.9016105847272</v>
      </c>
      <c r="F183" s="14">
        <f t="shared" si="7"/>
        <v>1.4730114345633394E-2</v>
      </c>
    </row>
    <row r="184" spans="1:6" x14ac:dyDescent="0.3">
      <c r="A184" s="13">
        <v>182</v>
      </c>
      <c r="B184" s="14">
        <v>0.10009999999999999</v>
      </c>
      <c r="C184" s="14">
        <v>20323</v>
      </c>
      <c r="D184" s="14">
        <f t="shared" si="6"/>
        <v>296</v>
      </c>
      <c r="E184" s="14">
        <f t="shared" si="8"/>
        <v>3025.9016105847272</v>
      </c>
      <c r="F184" s="14">
        <f t="shared" si="7"/>
        <v>1.4780046936635542E-2</v>
      </c>
    </row>
    <row r="185" spans="1:6" x14ac:dyDescent="0.3">
      <c r="A185" s="13">
        <v>183</v>
      </c>
      <c r="B185" s="14">
        <v>0.104</v>
      </c>
      <c r="C185" s="14">
        <v>20325</v>
      </c>
      <c r="D185" s="14">
        <f t="shared" si="6"/>
        <v>298</v>
      </c>
      <c r="E185" s="14">
        <f t="shared" si="8"/>
        <v>3143.7938811269892</v>
      </c>
      <c r="F185" s="14">
        <f t="shared" si="7"/>
        <v>1.4879912118639836E-2</v>
      </c>
    </row>
    <row r="186" spans="1:6" x14ac:dyDescent="0.3">
      <c r="A186" s="13">
        <v>184</v>
      </c>
      <c r="B186" s="14">
        <v>0.10249999999999999</v>
      </c>
      <c r="C186" s="14">
        <v>20327</v>
      </c>
      <c r="D186" s="14">
        <f t="shared" si="6"/>
        <v>300</v>
      </c>
      <c r="E186" s="14">
        <f t="shared" si="8"/>
        <v>3098.4507001491961</v>
      </c>
      <c r="F186" s="14">
        <f t="shared" si="7"/>
        <v>1.4979777300644131E-2</v>
      </c>
    </row>
    <row r="187" spans="1:6" x14ac:dyDescent="0.3">
      <c r="A187" s="13">
        <v>185</v>
      </c>
      <c r="B187" s="14">
        <v>0.104</v>
      </c>
      <c r="C187" s="14">
        <v>20329</v>
      </c>
      <c r="D187" s="14">
        <f t="shared" si="6"/>
        <v>302</v>
      </c>
      <c r="E187" s="14">
        <f t="shared" si="8"/>
        <v>3143.7938811269892</v>
      </c>
      <c r="F187" s="14">
        <f t="shared" si="7"/>
        <v>1.5079642482648425E-2</v>
      </c>
    </row>
    <row r="188" spans="1:6" x14ac:dyDescent="0.3">
      <c r="A188" s="13">
        <v>186</v>
      </c>
      <c r="B188" s="14">
        <v>0.1055</v>
      </c>
      <c r="C188" s="14">
        <v>20331</v>
      </c>
      <c r="D188" s="14">
        <f t="shared" si="6"/>
        <v>304</v>
      </c>
      <c r="E188" s="14">
        <f t="shared" si="8"/>
        <v>3189.1370621047822</v>
      </c>
      <c r="F188" s="14">
        <f t="shared" si="7"/>
        <v>1.5179507664652718E-2</v>
      </c>
    </row>
    <row r="189" spans="1:6" x14ac:dyDescent="0.3">
      <c r="A189" s="13">
        <v>187</v>
      </c>
      <c r="B189" s="14">
        <v>0.1045</v>
      </c>
      <c r="C189" s="14">
        <v>20332</v>
      </c>
      <c r="D189" s="14">
        <f t="shared" si="6"/>
        <v>305</v>
      </c>
      <c r="E189" s="14">
        <f t="shared" si="8"/>
        <v>3158.9082747862535</v>
      </c>
      <c r="F189" s="14">
        <f t="shared" si="7"/>
        <v>1.5229440255654866E-2</v>
      </c>
    </row>
    <row r="190" spans="1:6" x14ac:dyDescent="0.3">
      <c r="A190" s="13">
        <v>188</v>
      </c>
      <c r="B190" s="14">
        <v>0.104</v>
      </c>
      <c r="C190" s="14">
        <v>20334</v>
      </c>
      <c r="D190" s="14">
        <f t="shared" si="6"/>
        <v>307</v>
      </c>
      <c r="E190" s="14">
        <f t="shared" si="8"/>
        <v>3143.7938811269892</v>
      </c>
      <c r="F190" s="14">
        <f t="shared" si="7"/>
        <v>1.532930543765916E-2</v>
      </c>
    </row>
    <row r="191" spans="1:6" x14ac:dyDescent="0.3">
      <c r="A191" s="13">
        <v>189</v>
      </c>
      <c r="B191" s="14">
        <v>0.10639999999999999</v>
      </c>
      <c r="C191" s="14">
        <v>20336</v>
      </c>
      <c r="D191" s="14">
        <f t="shared" si="6"/>
        <v>309</v>
      </c>
      <c r="E191" s="14">
        <f t="shared" si="8"/>
        <v>3216.342970691458</v>
      </c>
      <c r="F191" s="14">
        <f t="shared" si="7"/>
        <v>1.5429170619663455E-2</v>
      </c>
    </row>
    <row r="192" spans="1:6" x14ac:dyDescent="0.3">
      <c r="A192" s="13">
        <v>190</v>
      </c>
      <c r="B192" s="14">
        <v>0.1079</v>
      </c>
      <c r="C192" s="14">
        <v>20338</v>
      </c>
      <c r="D192" s="14">
        <f t="shared" si="6"/>
        <v>311</v>
      </c>
      <c r="E192" s="14">
        <f t="shared" si="8"/>
        <v>3261.6861516692516</v>
      </c>
      <c r="F192" s="14">
        <f t="shared" si="7"/>
        <v>1.5529035801667748E-2</v>
      </c>
    </row>
    <row r="193" spans="1:6" x14ac:dyDescent="0.3">
      <c r="A193" s="13">
        <v>191</v>
      </c>
      <c r="B193" s="14">
        <v>0.1074</v>
      </c>
      <c r="C193" s="14">
        <v>20340</v>
      </c>
      <c r="D193" s="14">
        <f t="shared" si="6"/>
        <v>313</v>
      </c>
      <c r="E193" s="14">
        <f t="shared" si="8"/>
        <v>3246.5717580099872</v>
      </c>
      <c r="F193" s="14">
        <f t="shared" si="7"/>
        <v>1.5628900983672044E-2</v>
      </c>
    </row>
    <row r="194" spans="1:6" x14ac:dyDescent="0.3">
      <c r="A194" s="13">
        <v>192</v>
      </c>
      <c r="B194" s="14">
        <v>0.1094</v>
      </c>
      <c r="C194" s="14">
        <v>20342</v>
      </c>
      <c r="D194" s="14">
        <f t="shared" si="6"/>
        <v>315</v>
      </c>
      <c r="E194" s="14">
        <f t="shared" si="8"/>
        <v>3307.0293326470446</v>
      </c>
      <c r="F194" s="14">
        <f t="shared" si="7"/>
        <v>1.5728766165676335E-2</v>
      </c>
    </row>
    <row r="195" spans="1:6" x14ac:dyDescent="0.3">
      <c r="A195" s="13">
        <v>193</v>
      </c>
      <c r="B195" s="14">
        <v>0.1094</v>
      </c>
      <c r="C195" s="14">
        <v>20343</v>
      </c>
      <c r="D195" s="14">
        <f t="shared" si="6"/>
        <v>316</v>
      </c>
      <c r="E195" s="14">
        <f t="shared" si="8"/>
        <v>3307.0293326470446</v>
      </c>
      <c r="F195" s="14">
        <f t="shared" si="7"/>
        <v>1.5778698756678484E-2</v>
      </c>
    </row>
    <row r="196" spans="1:6" x14ac:dyDescent="0.3">
      <c r="A196" s="13">
        <v>194</v>
      </c>
      <c r="B196" s="14">
        <v>0.1109</v>
      </c>
      <c r="C196" s="14">
        <v>20345</v>
      </c>
      <c r="D196" s="14">
        <f t="shared" ref="D196:D259" si="9">C196-$C$3</f>
        <v>318</v>
      </c>
      <c r="E196" s="14">
        <f t="shared" si="8"/>
        <v>3352.3725136248377</v>
      </c>
      <c r="F196" s="14">
        <f t="shared" ref="F196:F259" si="10">D196/$C$3</f>
        <v>1.5878563938682779E-2</v>
      </c>
    </row>
    <row r="197" spans="1:6" x14ac:dyDescent="0.3">
      <c r="A197" s="13">
        <v>195</v>
      </c>
      <c r="B197" s="14">
        <v>0.1123</v>
      </c>
      <c r="C197" s="14">
        <v>20347</v>
      </c>
      <c r="D197" s="14">
        <f t="shared" si="9"/>
        <v>320</v>
      </c>
      <c r="E197" s="14">
        <f t="shared" ref="E197:E260" si="11">B197/$J$5</f>
        <v>3394.6928158707778</v>
      </c>
      <c r="F197" s="14">
        <f t="shared" si="10"/>
        <v>1.5978429120687074E-2</v>
      </c>
    </row>
    <row r="198" spans="1:6" x14ac:dyDescent="0.3">
      <c r="A198" s="13">
        <v>196</v>
      </c>
      <c r="B198" s="14">
        <v>0.1114</v>
      </c>
      <c r="C198" s="14">
        <v>20349</v>
      </c>
      <c r="D198" s="14">
        <f t="shared" si="9"/>
        <v>322</v>
      </c>
      <c r="E198" s="14">
        <f t="shared" si="11"/>
        <v>3367.486907284102</v>
      </c>
      <c r="F198" s="14">
        <f t="shared" si="10"/>
        <v>1.6078294302691365E-2</v>
      </c>
    </row>
    <row r="199" spans="1:6" x14ac:dyDescent="0.3">
      <c r="A199" s="13">
        <v>197</v>
      </c>
      <c r="B199" s="14">
        <v>0.1133</v>
      </c>
      <c r="C199" s="14">
        <v>20351</v>
      </c>
      <c r="D199" s="14">
        <f t="shared" si="9"/>
        <v>324</v>
      </c>
      <c r="E199" s="14">
        <f t="shared" si="11"/>
        <v>3424.9216031893066</v>
      </c>
      <c r="F199" s="14">
        <f t="shared" si="10"/>
        <v>1.617815948469566E-2</v>
      </c>
    </row>
    <row r="200" spans="1:6" x14ac:dyDescent="0.3">
      <c r="A200" s="13">
        <v>198</v>
      </c>
      <c r="B200" s="14">
        <v>0.1123</v>
      </c>
      <c r="C200" s="14">
        <v>20353</v>
      </c>
      <c r="D200" s="14">
        <f t="shared" si="9"/>
        <v>326</v>
      </c>
      <c r="E200" s="14">
        <f t="shared" si="11"/>
        <v>3394.6928158707778</v>
      </c>
      <c r="F200" s="14">
        <f t="shared" si="10"/>
        <v>1.6278024666699954E-2</v>
      </c>
    </row>
    <row r="201" spans="1:6" x14ac:dyDescent="0.3">
      <c r="A201" s="13">
        <v>199</v>
      </c>
      <c r="B201" s="14">
        <v>0.1153</v>
      </c>
      <c r="C201" s="14">
        <v>20355</v>
      </c>
      <c r="D201" s="14">
        <f t="shared" si="9"/>
        <v>328</v>
      </c>
      <c r="E201" s="14">
        <f t="shared" si="11"/>
        <v>3485.3791778263644</v>
      </c>
      <c r="F201" s="14">
        <f t="shared" si="10"/>
        <v>1.6377889848704249E-2</v>
      </c>
    </row>
    <row r="202" spans="1:6" x14ac:dyDescent="0.3">
      <c r="A202" s="13">
        <v>200</v>
      </c>
      <c r="B202" s="14">
        <v>0.1148</v>
      </c>
      <c r="C202" s="14">
        <v>20356</v>
      </c>
      <c r="D202" s="14">
        <f t="shared" si="9"/>
        <v>329</v>
      </c>
      <c r="E202" s="14">
        <f t="shared" si="11"/>
        <v>3470.2647841671001</v>
      </c>
      <c r="F202" s="14">
        <f t="shared" si="10"/>
        <v>1.6427822439706398E-2</v>
      </c>
    </row>
    <row r="203" spans="1:6" x14ac:dyDescent="0.3">
      <c r="A203" s="13">
        <v>201</v>
      </c>
      <c r="B203" s="14">
        <v>0.1158</v>
      </c>
      <c r="C203" s="14">
        <v>20358</v>
      </c>
      <c r="D203" s="14">
        <f t="shared" si="9"/>
        <v>331</v>
      </c>
      <c r="E203" s="14">
        <f t="shared" si="11"/>
        <v>3500.4935714856288</v>
      </c>
      <c r="F203" s="14">
        <f t="shared" si="10"/>
        <v>1.6527687621710689E-2</v>
      </c>
    </row>
    <row r="204" spans="1:6" x14ac:dyDescent="0.3">
      <c r="A204" s="13">
        <v>202</v>
      </c>
      <c r="B204" s="14">
        <v>0.1182</v>
      </c>
      <c r="C204" s="14">
        <v>20360</v>
      </c>
      <c r="D204" s="14">
        <f t="shared" si="9"/>
        <v>333</v>
      </c>
      <c r="E204" s="14">
        <f t="shared" si="11"/>
        <v>3573.0426610500976</v>
      </c>
      <c r="F204" s="14">
        <f t="shared" si="10"/>
        <v>1.6627552803714984E-2</v>
      </c>
    </row>
    <row r="205" spans="1:6" x14ac:dyDescent="0.3">
      <c r="A205" s="13">
        <v>203</v>
      </c>
      <c r="B205" s="14">
        <v>0.1163</v>
      </c>
      <c r="C205" s="14">
        <v>20362</v>
      </c>
      <c r="D205" s="14">
        <f t="shared" si="9"/>
        <v>335</v>
      </c>
      <c r="E205" s="14">
        <f t="shared" si="11"/>
        <v>3515.6079651448931</v>
      </c>
      <c r="F205" s="14">
        <f t="shared" si="10"/>
        <v>1.6727417985719278E-2</v>
      </c>
    </row>
    <row r="206" spans="1:6" x14ac:dyDescent="0.3">
      <c r="A206" s="13">
        <v>204</v>
      </c>
      <c r="B206" s="14">
        <v>0.1187</v>
      </c>
      <c r="C206" s="14">
        <v>20364</v>
      </c>
      <c r="D206" s="14">
        <f t="shared" si="9"/>
        <v>337</v>
      </c>
      <c r="E206" s="14">
        <f t="shared" si="11"/>
        <v>3588.157054709362</v>
      </c>
      <c r="F206" s="14">
        <f t="shared" si="10"/>
        <v>1.6827283167723573E-2</v>
      </c>
    </row>
    <row r="207" spans="1:6" x14ac:dyDescent="0.3">
      <c r="A207" s="13">
        <v>205</v>
      </c>
      <c r="B207" s="14">
        <v>0.1192</v>
      </c>
      <c r="C207" s="14">
        <v>20366</v>
      </c>
      <c r="D207" s="14">
        <f t="shared" si="9"/>
        <v>339</v>
      </c>
      <c r="E207" s="14">
        <f t="shared" si="11"/>
        <v>3603.2714483686264</v>
      </c>
      <c r="F207" s="14">
        <f t="shared" si="10"/>
        <v>1.6927148349727868E-2</v>
      </c>
    </row>
    <row r="208" spans="1:6" x14ac:dyDescent="0.3">
      <c r="A208" s="13">
        <v>206</v>
      </c>
      <c r="B208" s="14">
        <v>0.1192</v>
      </c>
      <c r="C208" s="14">
        <v>20368</v>
      </c>
      <c r="D208" s="14">
        <f t="shared" si="9"/>
        <v>341</v>
      </c>
      <c r="E208" s="14">
        <f t="shared" si="11"/>
        <v>3603.2714483686264</v>
      </c>
      <c r="F208" s="14">
        <f t="shared" si="10"/>
        <v>1.7027013531732162E-2</v>
      </c>
    </row>
    <row r="209" spans="1:6" x14ac:dyDescent="0.3">
      <c r="A209" s="13">
        <v>207</v>
      </c>
      <c r="B209" s="14">
        <v>0.1192</v>
      </c>
      <c r="C209" s="14">
        <v>20369</v>
      </c>
      <c r="D209" s="14">
        <f t="shared" si="9"/>
        <v>342</v>
      </c>
      <c r="E209" s="14">
        <f t="shared" si="11"/>
        <v>3603.2714483686264</v>
      </c>
      <c r="F209" s="14">
        <f t="shared" si="10"/>
        <v>1.7076946122734308E-2</v>
      </c>
    </row>
    <row r="210" spans="1:6" x14ac:dyDescent="0.3">
      <c r="A210" s="13">
        <v>208</v>
      </c>
      <c r="B210" s="14">
        <v>0.1221</v>
      </c>
      <c r="C210" s="14">
        <v>20371</v>
      </c>
      <c r="D210" s="14">
        <f t="shared" si="9"/>
        <v>344</v>
      </c>
      <c r="E210" s="14">
        <f t="shared" si="11"/>
        <v>3690.9349315923596</v>
      </c>
      <c r="F210" s="14">
        <f t="shared" si="10"/>
        <v>1.7176811304738603E-2</v>
      </c>
    </row>
    <row r="211" spans="1:6" x14ac:dyDescent="0.3">
      <c r="A211" s="13">
        <v>209</v>
      </c>
      <c r="B211" s="14">
        <v>0.1231</v>
      </c>
      <c r="C211" s="14">
        <v>20373</v>
      </c>
      <c r="D211" s="14">
        <f t="shared" si="9"/>
        <v>346</v>
      </c>
      <c r="E211" s="14">
        <f t="shared" si="11"/>
        <v>3721.1637189108883</v>
      </c>
      <c r="F211" s="14">
        <f t="shared" si="10"/>
        <v>1.7276676486742897E-2</v>
      </c>
    </row>
    <row r="212" spans="1:6" x14ac:dyDescent="0.3">
      <c r="A212" s="13">
        <v>210</v>
      </c>
      <c r="B212" s="14">
        <v>0.1236</v>
      </c>
      <c r="C212" s="14">
        <v>20375</v>
      </c>
      <c r="D212" s="14">
        <f t="shared" si="9"/>
        <v>348</v>
      </c>
      <c r="E212" s="14">
        <f t="shared" si="11"/>
        <v>3736.2781125701526</v>
      </c>
      <c r="F212" s="14">
        <f t="shared" si="10"/>
        <v>1.7376541668747192E-2</v>
      </c>
    </row>
    <row r="213" spans="1:6" x14ac:dyDescent="0.3">
      <c r="A213" s="13">
        <v>211</v>
      </c>
      <c r="B213" s="14">
        <v>0.1241</v>
      </c>
      <c r="C213" s="14">
        <v>20377</v>
      </c>
      <c r="D213" s="14">
        <f t="shared" si="9"/>
        <v>350</v>
      </c>
      <c r="E213" s="14">
        <f t="shared" si="11"/>
        <v>3751.3925062294174</v>
      </c>
      <c r="F213" s="14">
        <f t="shared" si="10"/>
        <v>1.7476406850751487E-2</v>
      </c>
    </row>
    <row r="214" spans="1:6" x14ac:dyDescent="0.3">
      <c r="A214" s="13">
        <v>212</v>
      </c>
      <c r="B214" s="14">
        <v>0.1226</v>
      </c>
      <c r="C214" s="14">
        <v>20379</v>
      </c>
      <c r="D214" s="14">
        <f t="shared" si="9"/>
        <v>352</v>
      </c>
      <c r="E214" s="14">
        <f t="shared" si="11"/>
        <v>3706.0493252516239</v>
      </c>
      <c r="F214" s="14">
        <f t="shared" si="10"/>
        <v>1.7576272032755781E-2</v>
      </c>
    </row>
    <row r="215" spans="1:6" x14ac:dyDescent="0.3">
      <c r="A215" s="13">
        <v>213</v>
      </c>
      <c r="B215" s="14">
        <v>0.1246</v>
      </c>
      <c r="C215" s="14">
        <v>20381</v>
      </c>
      <c r="D215" s="14">
        <f t="shared" si="9"/>
        <v>354</v>
      </c>
      <c r="E215" s="14">
        <f t="shared" si="11"/>
        <v>3766.5068998886818</v>
      </c>
      <c r="F215" s="14">
        <f t="shared" si="10"/>
        <v>1.7676137214760072E-2</v>
      </c>
    </row>
    <row r="216" spans="1:6" x14ac:dyDescent="0.3">
      <c r="A216" s="13">
        <v>214</v>
      </c>
      <c r="B216" s="14">
        <v>0.1246</v>
      </c>
      <c r="C216" s="14">
        <v>20383</v>
      </c>
      <c r="D216" s="14">
        <f t="shared" si="9"/>
        <v>356</v>
      </c>
      <c r="E216" s="14">
        <f t="shared" si="11"/>
        <v>3766.5068998886818</v>
      </c>
      <c r="F216" s="14">
        <f t="shared" si="10"/>
        <v>1.7776002396764367E-2</v>
      </c>
    </row>
    <row r="217" spans="1:6" x14ac:dyDescent="0.3">
      <c r="A217" s="13">
        <v>215</v>
      </c>
      <c r="B217" s="14">
        <v>0.127</v>
      </c>
      <c r="C217" s="14">
        <v>20384</v>
      </c>
      <c r="D217" s="14">
        <f t="shared" si="9"/>
        <v>357</v>
      </c>
      <c r="E217" s="14">
        <f t="shared" si="11"/>
        <v>3839.0559894531507</v>
      </c>
      <c r="F217" s="14">
        <f t="shared" si="10"/>
        <v>1.7825934987766516E-2</v>
      </c>
    </row>
    <row r="218" spans="1:6" x14ac:dyDescent="0.3">
      <c r="A218" s="13">
        <v>216</v>
      </c>
      <c r="B218" s="14">
        <v>0.127</v>
      </c>
      <c r="C218" s="14">
        <v>20386</v>
      </c>
      <c r="D218" s="14">
        <f t="shared" si="9"/>
        <v>359</v>
      </c>
      <c r="E218" s="14">
        <f t="shared" si="11"/>
        <v>3839.0559894531507</v>
      </c>
      <c r="F218" s="14">
        <f t="shared" si="10"/>
        <v>1.7925800169770811E-2</v>
      </c>
    </row>
    <row r="219" spans="1:6" x14ac:dyDescent="0.3">
      <c r="A219" s="13">
        <v>217</v>
      </c>
      <c r="B219" s="14">
        <v>0.1295</v>
      </c>
      <c r="C219" s="14">
        <v>20388</v>
      </c>
      <c r="D219" s="14">
        <f t="shared" si="9"/>
        <v>361</v>
      </c>
      <c r="E219" s="14">
        <f t="shared" si="11"/>
        <v>3914.6279577494724</v>
      </c>
      <c r="F219" s="14">
        <f t="shared" si="10"/>
        <v>1.8025665351775105E-2</v>
      </c>
    </row>
    <row r="220" spans="1:6" x14ac:dyDescent="0.3">
      <c r="A220" s="13">
        <v>218</v>
      </c>
      <c r="B220" s="14">
        <v>0.13100000000000001</v>
      </c>
      <c r="C220" s="14">
        <v>20390</v>
      </c>
      <c r="D220" s="14">
        <f t="shared" si="9"/>
        <v>363</v>
      </c>
      <c r="E220" s="14">
        <f t="shared" si="11"/>
        <v>3959.9711387272655</v>
      </c>
      <c r="F220" s="14">
        <f t="shared" si="10"/>
        <v>1.8125530533779396E-2</v>
      </c>
    </row>
    <row r="221" spans="1:6" x14ac:dyDescent="0.3">
      <c r="A221" s="13">
        <v>219</v>
      </c>
      <c r="B221" s="14">
        <v>0.13100000000000001</v>
      </c>
      <c r="C221" s="14">
        <v>20392</v>
      </c>
      <c r="D221" s="14">
        <f t="shared" si="9"/>
        <v>365</v>
      </c>
      <c r="E221" s="14">
        <f t="shared" si="11"/>
        <v>3959.9711387272655</v>
      </c>
      <c r="F221" s="14">
        <f t="shared" si="10"/>
        <v>1.8225395715783691E-2</v>
      </c>
    </row>
    <row r="222" spans="1:6" x14ac:dyDescent="0.3">
      <c r="A222" s="13">
        <v>220</v>
      </c>
      <c r="B222" s="14">
        <v>0.13</v>
      </c>
      <c r="C222" s="14">
        <v>20394</v>
      </c>
      <c r="D222" s="14">
        <f t="shared" si="9"/>
        <v>367</v>
      </c>
      <c r="E222" s="14">
        <f t="shared" si="11"/>
        <v>3929.7423514087368</v>
      </c>
      <c r="F222" s="14">
        <f t="shared" si="10"/>
        <v>1.8325260897787986E-2</v>
      </c>
    </row>
    <row r="223" spans="1:6" x14ac:dyDescent="0.3">
      <c r="A223" s="13">
        <v>221</v>
      </c>
      <c r="B223" s="14">
        <v>0.13289999999999999</v>
      </c>
      <c r="C223" s="14">
        <v>20396</v>
      </c>
      <c r="D223" s="14">
        <f t="shared" si="9"/>
        <v>369</v>
      </c>
      <c r="E223" s="14">
        <f t="shared" si="11"/>
        <v>4017.40583463247</v>
      </c>
      <c r="F223" s="14">
        <f t="shared" si="10"/>
        <v>1.842512607979228E-2</v>
      </c>
    </row>
    <row r="224" spans="1:6" x14ac:dyDescent="0.3">
      <c r="A224" s="13">
        <v>222</v>
      </c>
      <c r="B224" s="14">
        <v>0.13239999999999999</v>
      </c>
      <c r="C224" s="14">
        <v>20398</v>
      </c>
      <c r="D224" s="14">
        <f t="shared" si="9"/>
        <v>371</v>
      </c>
      <c r="E224" s="14">
        <f t="shared" si="11"/>
        <v>4002.2914409732057</v>
      </c>
      <c r="F224" s="14">
        <f t="shared" si="10"/>
        <v>1.8524991261796575E-2</v>
      </c>
    </row>
    <row r="225" spans="1:6" x14ac:dyDescent="0.3">
      <c r="A225" s="13">
        <v>223</v>
      </c>
      <c r="B225" s="14">
        <v>0.13389999999999999</v>
      </c>
      <c r="C225" s="14">
        <v>20400</v>
      </c>
      <c r="D225" s="14">
        <f t="shared" si="9"/>
        <v>373</v>
      </c>
      <c r="E225" s="14">
        <f t="shared" si="11"/>
        <v>4047.6346219509987</v>
      </c>
      <c r="F225" s="14">
        <f t="shared" si="10"/>
        <v>1.862485644380087E-2</v>
      </c>
    </row>
    <row r="226" spans="1:6" x14ac:dyDescent="0.3">
      <c r="A226" s="13">
        <v>224</v>
      </c>
      <c r="B226" s="14">
        <v>0.13339999999999999</v>
      </c>
      <c r="C226" s="14">
        <v>20402</v>
      </c>
      <c r="D226" s="14">
        <f t="shared" si="9"/>
        <v>375</v>
      </c>
      <c r="E226" s="14">
        <f t="shared" si="11"/>
        <v>4032.5202282917344</v>
      </c>
      <c r="F226" s="14">
        <f t="shared" si="10"/>
        <v>1.8724721625805164E-2</v>
      </c>
    </row>
    <row r="227" spans="1:6" x14ac:dyDescent="0.3">
      <c r="A227" s="13">
        <v>225</v>
      </c>
      <c r="B227" s="14">
        <v>0.13539999999999999</v>
      </c>
      <c r="C227" s="14">
        <v>20403</v>
      </c>
      <c r="D227" s="14">
        <f t="shared" si="9"/>
        <v>376</v>
      </c>
      <c r="E227" s="14">
        <f t="shared" si="11"/>
        <v>4092.9778029287918</v>
      </c>
      <c r="F227" s="14">
        <f t="shared" si="10"/>
        <v>1.877465421680731E-2</v>
      </c>
    </row>
    <row r="228" spans="1:6" x14ac:dyDescent="0.3">
      <c r="A228" s="13">
        <v>226</v>
      </c>
      <c r="B228" s="14">
        <v>0.13639999999999999</v>
      </c>
      <c r="C228" s="14">
        <v>20405</v>
      </c>
      <c r="D228" s="14">
        <f t="shared" si="9"/>
        <v>378</v>
      </c>
      <c r="E228" s="14">
        <f t="shared" si="11"/>
        <v>4123.2065902473205</v>
      </c>
      <c r="F228" s="14">
        <f t="shared" si="10"/>
        <v>1.8874519398811605E-2</v>
      </c>
    </row>
    <row r="229" spans="1:6" x14ac:dyDescent="0.3">
      <c r="A229" s="13">
        <v>227</v>
      </c>
      <c r="B229" s="14">
        <v>0.13689999999999999</v>
      </c>
      <c r="C229" s="14">
        <v>20407</v>
      </c>
      <c r="D229" s="14">
        <f t="shared" si="9"/>
        <v>380</v>
      </c>
      <c r="E229" s="14">
        <f t="shared" si="11"/>
        <v>4138.3209839065848</v>
      </c>
      <c r="F229" s="14">
        <f t="shared" si="10"/>
        <v>1.8974384580815899E-2</v>
      </c>
    </row>
    <row r="230" spans="1:6" x14ac:dyDescent="0.3">
      <c r="A230" s="13">
        <v>228</v>
      </c>
      <c r="B230" s="14">
        <v>0.13780000000000001</v>
      </c>
      <c r="C230" s="14">
        <v>20409</v>
      </c>
      <c r="D230" s="14">
        <f t="shared" si="9"/>
        <v>382</v>
      </c>
      <c r="E230" s="14">
        <f t="shared" si="11"/>
        <v>4165.5268924932616</v>
      </c>
      <c r="F230" s="14">
        <f t="shared" si="10"/>
        <v>1.9074249762820194E-2</v>
      </c>
    </row>
    <row r="231" spans="1:6" x14ac:dyDescent="0.3">
      <c r="A231" s="13">
        <v>229</v>
      </c>
      <c r="B231" s="14">
        <v>0.13880000000000001</v>
      </c>
      <c r="C231" s="14">
        <v>20411</v>
      </c>
      <c r="D231" s="14">
        <f t="shared" si="9"/>
        <v>384</v>
      </c>
      <c r="E231" s="14">
        <f t="shared" si="11"/>
        <v>4195.7556798117903</v>
      </c>
      <c r="F231" s="14">
        <f t="shared" si="10"/>
        <v>1.9174114944824489E-2</v>
      </c>
    </row>
    <row r="232" spans="1:6" x14ac:dyDescent="0.3">
      <c r="A232" s="13">
        <v>230</v>
      </c>
      <c r="B232" s="14">
        <v>0.13880000000000001</v>
      </c>
      <c r="C232" s="14">
        <v>20413</v>
      </c>
      <c r="D232" s="14">
        <f t="shared" si="9"/>
        <v>386</v>
      </c>
      <c r="E232" s="14">
        <f t="shared" si="11"/>
        <v>4195.7556798117903</v>
      </c>
      <c r="F232" s="14">
        <f t="shared" si="10"/>
        <v>1.927398012682878E-2</v>
      </c>
    </row>
    <row r="233" spans="1:6" x14ac:dyDescent="0.3">
      <c r="A233" s="13">
        <v>231</v>
      </c>
      <c r="B233" s="14">
        <v>0.14080000000000001</v>
      </c>
      <c r="C233" s="14">
        <v>20415</v>
      </c>
      <c r="D233" s="14">
        <f t="shared" si="9"/>
        <v>388</v>
      </c>
      <c r="E233" s="14">
        <f t="shared" si="11"/>
        <v>4256.2132544488477</v>
      </c>
      <c r="F233" s="14">
        <f t="shared" si="10"/>
        <v>1.9373845308833074E-2</v>
      </c>
    </row>
    <row r="234" spans="1:6" x14ac:dyDescent="0.3">
      <c r="A234" s="13">
        <v>232</v>
      </c>
      <c r="B234" s="14">
        <v>0.14130000000000001</v>
      </c>
      <c r="C234" s="14">
        <v>20417</v>
      </c>
      <c r="D234" s="14">
        <f t="shared" si="9"/>
        <v>390</v>
      </c>
      <c r="E234" s="14">
        <f t="shared" si="11"/>
        <v>4271.327648108112</v>
      </c>
      <c r="F234" s="14">
        <f t="shared" si="10"/>
        <v>1.9473710490837369E-2</v>
      </c>
    </row>
    <row r="235" spans="1:6" x14ac:dyDescent="0.3">
      <c r="A235" s="13">
        <v>233</v>
      </c>
      <c r="B235" s="14">
        <v>0.14180000000000001</v>
      </c>
      <c r="C235" s="14">
        <v>20419</v>
      </c>
      <c r="D235" s="14">
        <f t="shared" si="9"/>
        <v>392</v>
      </c>
      <c r="E235" s="14">
        <f t="shared" si="11"/>
        <v>4286.4420417673764</v>
      </c>
      <c r="F235" s="14">
        <f t="shared" si="10"/>
        <v>1.9573575672841664E-2</v>
      </c>
    </row>
    <row r="236" spans="1:6" x14ac:dyDescent="0.3">
      <c r="A236" s="13">
        <v>234</v>
      </c>
      <c r="B236" s="14">
        <v>0.14269999999999999</v>
      </c>
      <c r="C236" s="14">
        <v>20421</v>
      </c>
      <c r="D236" s="14">
        <f t="shared" si="9"/>
        <v>394</v>
      </c>
      <c r="E236" s="14">
        <f t="shared" si="11"/>
        <v>4313.6479503540513</v>
      </c>
      <c r="F236" s="14">
        <f t="shared" si="10"/>
        <v>1.9673440854845958E-2</v>
      </c>
    </row>
    <row r="237" spans="1:6" x14ac:dyDescent="0.3">
      <c r="A237" s="13">
        <v>235</v>
      </c>
      <c r="B237" s="14">
        <v>0.14180000000000001</v>
      </c>
      <c r="C237" s="14">
        <v>20423</v>
      </c>
      <c r="D237" s="14">
        <f t="shared" si="9"/>
        <v>396</v>
      </c>
      <c r="E237" s="14">
        <f t="shared" si="11"/>
        <v>4286.4420417673764</v>
      </c>
      <c r="F237" s="14">
        <f t="shared" si="10"/>
        <v>1.9773306036850253E-2</v>
      </c>
    </row>
    <row r="238" spans="1:6" x14ac:dyDescent="0.3">
      <c r="A238" s="13">
        <v>236</v>
      </c>
      <c r="B238" s="14">
        <v>0.14319999999999999</v>
      </c>
      <c r="C238" s="14">
        <v>20424</v>
      </c>
      <c r="D238" s="14">
        <f t="shared" si="9"/>
        <v>397</v>
      </c>
      <c r="E238" s="14">
        <f t="shared" si="11"/>
        <v>4328.7623440133157</v>
      </c>
      <c r="F238" s="14">
        <f t="shared" si="10"/>
        <v>1.9823238627852399E-2</v>
      </c>
    </row>
    <row r="239" spans="1:6" x14ac:dyDescent="0.3">
      <c r="A239" s="13">
        <v>237</v>
      </c>
      <c r="B239" s="14">
        <v>0.1457</v>
      </c>
      <c r="C239" s="14">
        <v>20426</v>
      </c>
      <c r="D239" s="14">
        <f t="shared" si="9"/>
        <v>399</v>
      </c>
      <c r="E239" s="14">
        <f t="shared" si="11"/>
        <v>4404.3343123096383</v>
      </c>
      <c r="F239" s="14">
        <f t="shared" si="10"/>
        <v>1.9923103809856693E-2</v>
      </c>
    </row>
    <row r="240" spans="1:6" x14ac:dyDescent="0.3">
      <c r="A240" s="13">
        <v>238</v>
      </c>
      <c r="B240" s="14">
        <v>0.1447</v>
      </c>
      <c r="C240" s="14">
        <v>20428</v>
      </c>
      <c r="D240" s="14">
        <f t="shared" si="9"/>
        <v>401</v>
      </c>
      <c r="E240" s="14">
        <f t="shared" si="11"/>
        <v>4374.1055249911096</v>
      </c>
      <c r="F240" s="14">
        <f t="shared" si="10"/>
        <v>2.0022968991860988E-2</v>
      </c>
    </row>
    <row r="241" spans="1:6" x14ac:dyDescent="0.3">
      <c r="A241" s="13">
        <v>239</v>
      </c>
      <c r="B241" s="14">
        <v>0.1472</v>
      </c>
      <c r="C241" s="14">
        <v>20430</v>
      </c>
      <c r="D241" s="14">
        <f t="shared" si="9"/>
        <v>403</v>
      </c>
      <c r="E241" s="14">
        <f t="shared" si="11"/>
        <v>4449.6774932874314</v>
      </c>
      <c r="F241" s="14">
        <f t="shared" si="10"/>
        <v>2.0122834173865282E-2</v>
      </c>
    </row>
    <row r="242" spans="1:6" x14ac:dyDescent="0.3">
      <c r="A242" s="13">
        <v>240</v>
      </c>
      <c r="B242" s="14">
        <v>0.1477</v>
      </c>
      <c r="C242" s="14">
        <v>20432</v>
      </c>
      <c r="D242" s="14">
        <f t="shared" si="9"/>
        <v>405</v>
      </c>
      <c r="E242" s="14">
        <f t="shared" si="11"/>
        <v>4464.7918869466957</v>
      </c>
      <c r="F242" s="14">
        <f t="shared" si="10"/>
        <v>2.0222699355869577E-2</v>
      </c>
    </row>
    <row r="243" spans="1:6" x14ac:dyDescent="0.3">
      <c r="A243" s="13">
        <v>241</v>
      </c>
      <c r="B243" s="14">
        <v>0.14860000000000001</v>
      </c>
      <c r="C243" s="14">
        <v>20434</v>
      </c>
      <c r="D243" s="14">
        <f t="shared" si="9"/>
        <v>407</v>
      </c>
      <c r="E243" s="14">
        <f t="shared" si="11"/>
        <v>4491.9977955333716</v>
      </c>
      <c r="F243" s="14">
        <f t="shared" si="10"/>
        <v>2.0322564537873872E-2</v>
      </c>
    </row>
    <row r="244" spans="1:6" x14ac:dyDescent="0.3">
      <c r="A244" s="13">
        <v>242</v>
      </c>
      <c r="B244" s="14">
        <v>0.15010000000000001</v>
      </c>
      <c r="C244" s="14">
        <v>20436</v>
      </c>
      <c r="D244" s="14">
        <f t="shared" si="9"/>
        <v>409</v>
      </c>
      <c r="E244" s="14">
        <f t="shared" si="11"/>
        <v>4537.3409765111646</v>
      </c>
      <c r="F244" s="14">
        <f t="shared" si="10"/>
        <v>2.0422429719878163E-2</v>
      </c>
    </row>
    <row r="245" spans="1:6" x14ac:dyDescent="0.3">
      <c r="A245" s="13">
        <v>243</v>
      </c>
      <c r="B245" s="14">
        <v>0.15060000000000001</v>
      </c>
      <c r="C245" s="14">
        <v>20438</v>
      </c>
      <c r="D245" s="14">
        <f t="shared" si="9"/>
        <v>411</v>
      </c>
      <c r="E245" s="14">
        <f t="shared" si="11"/>
        <v>4552.455370170429</v>
      </c>
      <c r="F245" s="14">
        <f t="shared" si="10"/>
        <v>2.0522294901882458E-2</v>
      </c>
    </row>
    <row r="246" spans="1:6" x14ac:dyDescent="0.3">
      <c r="A246" s="13">
        <v>244</v>
      </c>
      <c r="B246" s="14">
        <v>0.15060000000000001</v>
      </c>
      <c r="C246" s="14">
        <v>20440</v>
      </c>
      <c r="D246" s="14">
        <f t="shared" si="9"/>
        <v>413</v>
      </c>
      <c r="E246" s="14">
        <f t="shared" si="11"/>
        <v>4552.455370170429</v>
      </c>
      <c r="F246" s="14">
        <f t="shared" si="10"/>
        <v>2.0622160083886752E-2</v>
      </c>
    </row>
    <row r="247" spans="1:6" x14ac:dyDescent="0.3">
      <c r="A247" s="13">
        <v>245</v>
      </c>
      <c r="B247" s="14">
        <v>0.15160000000000001</v>
      </c>
      <c r="C247" s="14">
        <v>20442</v>
      </c>
      <c r="D247" s="14">
        <f t="shared" si="9"/>
        <v>415</v>
      </c>
      <c r="E247" s="14">
        <f t="shared" si="11"/>
        <v>4582.6841574889577</v>
      </c>
      <c r="F247" s="14">
        <f t="shared" si="10"/>
        <v>2.0722025265891047E-2</v>
      </c>
    </row>
    <row r="248" spans="1:6" x14ac:dyDescent="0.3">
      <c r="A248" s="13">
        <v>246</v>
      </c>
      <c r="B248" s="14">
        <v>0.15210000000000001</v>
      </c>
      <c r="C248" s="14">
        <v>20444</v>
      </c>
      <c r="D248" s="14">
        <f t="shared" si="9"/>
        <v>417</v>
      </c>
      <c r="E248" s="14">
        <f t="shared" si="11"/>
        <v>4597.798551148222</v>
      </c>
      <c r="F248" s="14">
        <f t="shared" si="10"/>
        <v>2.0821890447895341E-2</v>
      </c>
    </row>
    <row r="249" spans="1:6" x14ac:dyDescent="0.3">
      <c r="A249" s="13">
        <v>247</v>
      </c>
      <c r="B249" s="14">
        <v>0.153</v>
      </c>
      <c r="C249" s="14">
        <v>20446</v>
      </c>
      <c r="D249" s="14">
        <f t="shared" si="9"/>
        <v>419</v>
      </c>
      <c r="E249" s="14">
        <f t="shared" si="11"/>
        <v>4625.0044597348979</v>
      </c>
      <c r="F249" s="14">
        <f t="shared" si="10"/>
        <v>2.0921755629899636E-2</v>
      </c>
    </row>
    <row r="250" spans="1:6" x14ac:dyDescent="0.3">
      <c r="A250" s="13">
        <v>248</v>
      </c>
      <c r="B250" s="14">
        <v>0.1535</v>
      </c>
      <c r="C250" s="14">
        <v>20448</v>
      </c>
      <c r="D250" s="14">
        <f t="shared" si="9"/>
        <v>421</v>
      </c>
      <c r="E250" s="14">
        <f t="shared" si="11"/>
        <v>4640.1188533941622</v>
      </c>
      <c r="F250" s="14">
        <f t="shared" si="10"/>
        <v>2.1021620811903931E-2</v>
      </c>
    </row>
    <row r="251" spans="1:6" x14ac:dyDescent="0.3">
      <c r="A251" s="13">
        <v>249</v>
      </c>
      <c r="B251" s="14">
        <v>0.1555</v>
      </c>
      <c r="C251" s="14">
        <v>20450</v>
      </c>
      <c r="D251" s="14">
        <f t="shared" si="9"/>
        <v>423</v>
      </c>
      <c r="E251" s="14">
        <f t="shared" si="11"/>
        <v>4700.5764280312196</v>
      </c>
      <c r="F251" s="14">
        <f t="shared" si="10"/>
        <v>2.1121485993908225E-2</v>
      </c>
    </row>
    <row r="252" spans="1:6" x14ac:dyDescent="0.3">
      <c r="A252" s="13">
        <v>250</v>
      </c>
      <c r="B252" s="14">
        <v>0.156</v>
      </c>
      <c r="C252" s="14">
        <v>20452</v>
      </c>
      <c r="D252" s="14">
        <f t="shared" si="9"/>
        <v>425</v>
      </c>
      <c r="E252" s="14">
        <f t="shared" si="11"/>
        <v>4715.690821690484</v>
      </c>
      <c r="F252" s="14">
        <f t="shared" si="10"/>
        <v>2.1221351175912517E-2</v>
      </c>
    </row>
    <row r="253" spans="1:6" x14ac:dyDescent="0.3">
      <c r="A253" s="13">
        <v>251</v>
      </c>
      <c r="B253" s="14">
        <v>0.1555</v>
      </c>
      <c r="C253" s="14">
        <v>20453</v>
      </c>
      <c r="D253" s="14">
        <f t="shared" si="9"/>
        <v>426</v>
      </c>
      <c r="E253" s="14">
        <f t="shared" si="11"/>
        <v>4700.5764280312196</v>
      </c>
      <c r="F253" s="14">
        <f t="shared" si="10"/>
        <v>2.1271283766914666E-2</v>
      </c>
    </row>
    <row r="254" spans="1:6" x14ac:dyDescent="0.3">
      <c r="A254" s="13">
        <v>252</v>
      </c>
      <c r="B254" s="14">
        <v>0.1575</v>
      </c>
      <c r="C254" s="14">
        <v>20455</v>
      </c>
      <c r="D254" s="14">
        <f t="shared" si="9"/>
        <v>428</v>
      </c>
      <c r="E254" s="14">
        <f t="shared" si="11"/>
        <v>4761.034002668277</v>
      </c>
      <c r="F254" s="14">
        <f t="shared" si="10"/>
        <v>2.137114894891896E-2</v>
      </c>
    </row>
    <row r="255" spans="1:6" x14ac:dyDescent="0.3">
      <c r="A255" s="13">
        <v>253</v>
      </c>
      <c r="B255" s="14">
        <v>0.158</v>
      </c>
      <c r="C255" s="14">
        <v>20457</v>
      </c>
      <c r="D255" s="14">
        <f t="shared" si="9"/>
        <v>430</v>
      </c>
      <c r="E255" s="14">
        <f t="shared" si="11"/>
        <v>4776.1483963275414</v>
      </c>
      <c r="F255" s="14">
        <f t="shared" si="10"/>
        <v>2.1471014130923255E-2</v>
      </c>
    </row>
    <row r="256" spans="1:6" x14ac:dyDescent="0.3">
      <c r="A256" s="13">
        <v>254</v>
      </c>
      <c r="B256" s="14">
        <v>0.15840000000000001</v>
      </c>
      <c r="C256" s="14">
        <v>20459</v>
      </c>
      <c r="D256" s="14">
        <f t="shared" si="9"/>
        <v>432</v>
      </c>
      <c r="E256" s="14">
        <f t="shared" si="11"/>
        <v>4788.2399112549538</v>
      </c>
      <c r="F256" s="14">
        <f t="shared" si="10"/>
        <v>2.1570879312927546E-2</v>
      </c>
    </row>
    <row r="257" spans="1:6" x14ac:dyDescent="0.3">
      <c r="A257" s="13">
        <v>255</v>
      </c>
      <c r="B257" s="14">
        <v>0.15989999999999999</v>
      </c>
      <c r="C257" s="14">
        <v>20461</v>
      </c>
      <c r="D257" s="14">
        <f t="shared" si="9"/>
        <v>434</v>
      </c>
      <c r="E257" s="14">
        <f t="shared" si="11"/>
        <v>4833.5830922327459</v>
      </c>
      <c r="F257" s="14">
        <f t="shared" si="10"/>
        <v>2.1670744494931841E-2</v>
      </c>
    </row>
    <row r="258" spans="1:6" x14ac:dyDescent="0.3">
      <c r="A258" s="13">
        <v>256</v>
      </c>
      <c r="B258" s="14">
        <v>0.16239999999999999</v>
      </c>
      <c r="C258" s="14">
        <v>20463</v>
      </c>
      <c r="D258" s="14">
        <f t="shared" si="9"/>
        <v>436</v>
      </c>
      <c r="E258" s="14">
        <f t="shared" si="11"/>
        <v>4909.1550605290677</v>
      </c>
      <c r="F258" s="14">
        <f t="shared" si="10"/>
        <v>2.1770609676936135E-2</v>
      </c>
    </row>
    <row r="259" spans="1:6" x14ac:dyDescent="0.3">
      <c r="A259" s="13">
        <v>257</v>
      </c>
      <c r="B259" s="14">
        <v>0.16089999999999999</v>
      </c>
      <c r="C259" s="14">
        <v>20465</v>
      </c>
      <c r="D259" s="14">
        <f t="shared" si="9"/>
        <v>438</v>
      </c>
      <c r="E259" s="14">
        <f t="shared" si="11"/>
        <v>4863.8118795512746</v>
      </c>
      <c r="F259" s="14">
        <f t="shared" si="10"/>
        <v>2.187047485894043E-2</v>
      </c>
    </row>
    <row r="260" spans="1:6" x14ac:dyDescent="0.3">
      <c r="A260" s="13">
        <v>258</v>
      </c>
      <c r="B260" s="14">
        <v>0.1633</v>
      </c>
      <c r="C260" s="14">
        <v>20467</v>
      </c>
      <c r="D260" s="14">
        <f t="shared" ref="D260:D281" si="12">C260-$C$3</f>
        <v>440</v>
      </c>
      <c r="E260" s="14">
        <f t="shared" si="11"/>
        <v>4936.3609691157444</v>
      </c>
      <c r="F260" s="14">
        <f t="shared" ref="F260:F281" si="13">D260/$C$3</f>
        <v>2.1970340040944725E-2</v>
      </c>
    </row>
    <row r="261" spans="1:6" x14ac:dyDescent="0.3">
      <c r="A261" s="13">
        <v>259</v>
      </c>
      <c r="B261" s="14">
        <v>0.1638</v>
      </c>
      <c r="C261" s="14">
        <v>20469</v>
      </c>
      <c r="D261" s="14">
        <f t="shared" si="12"/>
        <v>442</v>
      </c>
      <c r="E261" s="14">
        <f t="shared" ref="E261:E281" si="14">B261/$J$5</f>
        <v>4951.4753627750088</v>
      </c>
      <c r="F261" s="14">
        <f t="shared" si="13"/>
        <v>2.2070205222949019E-2</v>
      </c>
    </row>
    <row r="262" spans="1:6" x14ac:dyDescent="0.3">
      <c r="A262" s="13">
        <v>260</v>
      </c>
      <c r="B262" s="14">
        <v>0.1643</v>
      </c>
      <c r="C262" s="14">
        <v>20471</v>
      </c>
      <c r="D262" s="14">
        <f t="shared" si="12"/>
        <v>444</v>
      </c>
      <c r="E262" s="14">
        <f t="shared" si="14"/>
        <v>4966.5897564342731</v>
      </c>
      <c r="F262" s="14">
        <f t="shared" si="13"/>
        <v>2.2170070404953314E-2</v>
      </c>
    </row>
    <row r="263" spans="1:6" x14ac:dyDescent="0.3">
      <c r="A263" s="13">
        <v>261</v>
      </c>
      <c r="B263" s="14">
        <v>0.1648</v>
      </c>
      <c r="C263" s="14">
        <v>20473</v>
      </c>
      <c r="D263" s="14">
        <f t="shared" si="12"/>
        <v>446</v>
      </c>
      <c r="E263" s="14">
        <f t="shared" si="14"/>
        <v>4981.7041500935375</v>
      </c>
      <c r="F263" s="14">
        <f t="shared" si="13"/>
        <v>2.2269935586957609E-2</v>
      </c>
    </row>
    <row r="264" spans="1:6" x14ac:dyDescent="0.3">
      <c r="A264" s="13">
        <v>262</v>
      </c>
      <c r="B264" s="14">
        <v>0.16289999999999999</v>
      </c>
      <c r="C264" s="14">
        <v>20475</v>
      </c>
      <c r="D264" s="14">
        <f t="shared" si="12"/>
        <v>448</v>
      </c>
      <c r="E264" s="14">
        <f t="shared" si="14"/>
        <v>4924.269454188332</v>
      </c>
      <c r="F264" s="14">
        <f t="shared" si="13"/>
        <v>2.23698007689619E-2</v>
      </c>
    </row>
    <row r="265" spans="1:6" x14ac:dyDescent="0.3">
      <c r="A265" s="13">
        <v>263</v>
      </c>
      <c r="B265" s="14">
        <v>0.1668</v>
      </c>
      <c r="C265" s="14">
        <v>20477</v>
      </c>
      <c r="D265" s="14">
        <f t="shared" si="12"/>
        <v>450</v>
      </c>
      <c r="E265" s="14">
        <f t="shared" si="14"/>
        <v>5042.1617247305949</v>
      </c>
      <c r="F265" s="14">
        <f t="shared" si="13"/>
        <v>2.2469665950966194E-2</v>
      </c>
    </row>
    <row r="266" spans="1:6" x14ac:dyDescent="0.3">
      <c r="A266" s="13">
        <v>264</v>
      </c>
      <c r="B266" s="14">
        <v>0.1653</v>
      </c>
      <c r="C266" s="14">
        <v>20479</v>
      </c>
      <c r="D266" s="14">
        <f t="shared" si="12"/>
        <v>452</v>
      </c>
      <c r="E266" s="14">
        <f t="shared" si="14"/>
        <v>4996.8185437528018</v>
      </c>
      <c r="F266" s="14">
        <f t="shared" si="13"/>
        <v>2.2569531132970489E-2</v>
      </c>
    </row>
    <row r="267" spans="1:6" x14ac:dyDescent="0.3">
      <c r="A267" s="13">
        <v>265</v>
      </c>
      <c r="B267" s="14">
        <v>0.16869999999999999</v>
      </c>
      <c r="C267" s="14">
        <v>20481</v>
      </c>
      <c r="D267" s="14">
        <f t="shared" si="12"/>
        <v>454</v>
      </c>
      <c r="E267" s="14">
        <f t="shared" si="14"/>
        <v>5099.5964206357985</v>
      </c>
      <c r="F267" s="14">
        <f t="shared" si="13"/>
        <v>2.2669396314974784E-2</v>
      </c>
    </row>
    <row r="268" spans="1:6" x14ac:dyDescent="0.3">
      <c r="A268" s="13">
        <v>266</v>
      </c>
      <c r="B268" s="14">
        <v>0.16969999999999999</v>
      </c>
      <c r="C268" s="14">
        <v>20483</v>
      </c>
      <c r="D268" s="14">
        <f t="shared" si="12"/>
        <v>456</v>
      </c>
      <c r="E268" s="14">
        <f t="shared" si="14"/>
        <v>5129.8252079543272</v>
      </c>
      <c r="F268" s="14">
        <f t="shared" si="13"/>
        <v>2.2769261496979078E-2</v>
      </c>
    </row>
    <row r="269" spans="1:6" x14ac:dyDescent="0.3">
      <c r="A269" s="13">
        <v>267</v>
      </c>
      <c r="B269" s="14">
        <v>0.16919999999999999</v>
      </c>
      <c r="C269" s="14">
        <v>20485</v>
      </c>
      <c r="D269" s="14">
        <f t="shared" si="12"/>
        <v>458</v>
      </c>
      <c r="E269" s="14">
        <f t="shared" si="14"/>
        <v>5114.7108142950628</v>
      </c>
      <c r="F269" s="14">
        <f t="shared" si="13"/>
        <v>2.2869126678983373E-2</v>
      </c>
    </row>
    <row r="270" spans="1:6" x14ac:dyDescent="0.3">
      <c r="A270" s="13">
        <v>268</v>
      </c>
      <c r="B270" s="14">
        <v>0.17119999999999999</v>
      </c>
      <c r="C270" s="14">
        <v>20487</v>
      </c>
      <c r="D270" s="14">
        <f t="shared" si="12"/>
        <v>460</v>
      </c>
      <c r="E270" s="14">
        <f t="shared" si="14"/>
        <v>5175.1683889321212</v>
      </c>
      <c r="F270" s="14">
        <f t="shared" si="13"/>
        <v>2.2968991860987668E-2</v>
      </c>
    </row>
    <row r="271" spans="1:6" x14ac:dyDescent="0.3">
      <c r="A271" s="13">
        <v>269</v>
      </c>
      <c r="B271" s="14">
        <v>0.17219999999999999</v>
      </c>
      <c r="C271" s="14">
        <v>20489</v>
      </c>
      <c r="D271" s="14">
        <f t="shared" si="12"/>
        <v>462</v>
      </c>
      <c r="E271" s="14">
        <f t="shared" si="14"/>
        <v>5205.3971762506499</v>
      </c>
      <c r="F271" s="14">
        <f t="shared" si="13"/>
        <v>2.3068857042991962E-2</v>
      </c>
    </row>
    <row r="272" spans="1:6" x14ac:dyDescent="0.3">
      <c r="A272" s="13">
        <v>270</v>
      </c>
      <c r="B272" s="14">
        <v>0.17169999999999999</v>
      </c>
      <c r="C272" s="14">
        <v>20491</v>
      </c>
      <c r="D272" s="14">
        <f t="shared" si="12"/>
        <v>464</v>
      </c>
      <c r="E272" s="14">
        <f t="shared" si="14"/>
        <v>5190.2827825913855</v>
      </c>
      <c r="F272" s="14">
        <f t="shared" si="13"/>
        <v>2.3168722224996254E-2</v>
      </c>
    </row>
    <row r="273" spans="1:6" x14ac:dyDescent="0.3">
      <c r="A273" s="13">
        <v>271</v>
      </c>
      <c r="B273" s="14">
        <v>0.17319999999999999</v>
      </c>
      <c r="C273" s="14">
        <v>20493</v>
      </c>
      <c r="D273" s="14">
        <f t="shared" si="12"/>
        <v>466</v>
      </c>
      <c r="E273" s="14">
        <f t="shared" si="14"/>
        <v>5235.6259635691786</v>
      </c>
      <c r="F273" s="14">
        <f t="shared" si="13"/>
        <v>2.3268587407000548E-2</v>
      </c>
    </row>
    <row r="274" spans="1:6" x14ac:dyDescent="0.3">
      <c r="A274" s="13">
        <v>272</v>
      </c>
      <c r="B274" s="14">
        <v>0.1736</v>
      </c>
      <c r="C274" s="14">
        <v>20491</v>
      </c>
      <c r="D274" s="14">
        <f t="shared" si="12"/>
        <v>464</v>
      </c>
      <c r="E274" s="14">
        <f t="shared" si="14"/>
        <v>5247.71747849659</v>
      </c>
      <c r="F274" s="14">
        <f t="shared" si="13"/>
        <v>2.3168722224996254E-2</v>
      </c>
    </row>
    <row r="275" spans="1:6" x14ac:dyDescent="0.3">
      <c r="A275" s="13">
        <v>273</v>
      </c>
      <c r="B275" s="14">
        <v>0.17660000000000001</v>
      </c>
      <c r="C275" s="14">
        <v>20500</v>
      </c>
      <c r="D275" s="14">
        <f t="shared" si="12"/>
        <v>473</v>
      </c>
      <c r="E275" s="14">
        <f t="shared" si="14"/>
        <v>5338.4038404521762</v>
      </c>
      <c r="F275" s="14">
        <f t="shared" si="13"/>
        <v>2.3618115544015578E-2</v>
      </c>
    </row>
    <row r="276" spans="1:6" x14ac:dyDescent="0.3">
      <c r="A276" s="13">
        <v>274</v>
      </c>
      <c r="B276" s="14">
        <v>0.17460000000000001</v>
      </c>
      <c r="C276" s="14">
        <v>20501</v>
      </c>
      <c r="D276" s="14">
        <f t="shared" si="12"/>
        <v>474</v>
      </c>
      <c r="E276" s="14">
        <f t="shared" si="14"/>
        <v>5277.9462658151187</v>
      </c>
      <c r="F276" s="14">
        <f t="shared" si="13"/>
        <v>2.3668048135017727E-2</v>
      </c>
    </row>
    <row r="277" spans="1:6" x14ac:dyDescent="0.3">
      <c r="A277" s="13">
        <v>275</v>
      </c>
      <c r="B277" s="14">
        <v>0.17860000000000001</v>
      </c>
      <c r="C277" s="14">
        <v>20500</v>
      </c>
      <c r="D277" s="14">
        <f t="shared" si="12"/>
        <v>473</v>
      </c>
      <c r="E277" s="14">
        <f t="shared" si="14"/>
        <v>5398.8614150892345</v>
      </c>
      <c r="F277" s="14">
        <f t="shared" si="13"/>
        <v>2.3618115544015578E-2</v>
      </c>
    </row>
    <row r="278" spans="1:6" x14ac:dyDescent="0.3">
      <c r="A278" s="13">
        <v>276</v>
      </c>
      <c r="B278" s="14">
        <v>0.17660000000000001</v>
      </c>
      <c r="C278" s="14">
        <v>20502</v>
      </c>
      <c r="D278" s="14">
        <f t="shared" si="12"/>
        <v>475</v>
      </c>
      <c r="E278" s="14">
        <f t="shared" si="14"/>
        <v>5338.4038404521762</v>
      </c>
      <c r="F278" s="14">
        <f t="shared" si="13"/>
        <v>2.3717980726019872E-2</v>
      </c>
    </row>
    <row r="279" spans="1:6" x14ac:dyDescent="0.3">
      <c r="A279" s="13">
        <v>277</v>
      </c>
      <c r="B279" s="14">
        <v>0.17710000000000001</v>
      </c>
      <c r="C279" s="14">
        <v>20506</v>
      </c>
      <c r="D279" s="14">
        <f t="shared" si="12"/>
        <v>479</v>
      </c>
      <c r="E279" s="14">
        <f t="shared" si="14"/>
        <v>5353.5182341114405</v>
      </c>
      <c r="F279" s="14">
        <f t="shared" si="13"/>
        <v>2.3917711090028462E-2</v>
      </c>
    </row>
    <row r="280" spans="1:6" x14ac:dyDescent="0.3">
      <c r="A280" s="13">
        <v>278</v>
      </c>
      <c r="B280" s="14">
        <v>0.17860000000000001</v>
      </c>
      <c r="C280" s="14">
        <v>20507</v>
      </c>
      <c r="D280" s="14">
        <f t="shared" si="12"/>
        <v>480</v>
      </c>
      <c r="E280" s="14">
        <f t="shared" si="14"/>
        <v>5398.8614150892345</v>
      </c>
      <c r="F280" s="14">
        <f t="shared" si="13"/>
        <v>2.3967643681030607E-2</v>
      </c>
    </row>
    <row r="281" spans="1:6" x14ac:dyDescent="0.3">
      <c r="A281" s="13">
        <v>279</v>
      </c>
      <c r="B281" s="14">
        <v>1.472E-2</v>
      </c>
      <c r="C281" s="14">
        <v>20508</v>
      </c>
      <c r="D281" s="14">
        <f t="shared" si="12"/>
        <v>481</v>
      </c>
      <c r="E281" s="14">
        <f t="shared" si="14"/>
        <v>444.96774932874314</v>
      </c>
      <c r="F281" s="14">
        <f t="shared" si="13"/>
        <v>2.4017576272032756E-2</v>
      </c>
    </row>
  </sheetData>
  <mergeCells count="1">
    <mergeCell ref="I1:J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38620-99E4-491F-B5DE-6D1B1BCA581B}">
  <dimension ref="A1:S2067"/>
  <sheetViews>
    <sheetView zoomScale="110" zoomScaleNormal="110" workbookViewId="0">
      <selection activeCell="B37" sqref="B37:F37"/>
    </sheetView>
  </sheetViews>
  <sheetFormatPr baseColWidth="10" defaultColWidth="8.88671875" defaultRowHeight="14.4" x14ac:dyDescent="0.3"/>
  <cols>
    <col min="1" max="1" width="10.109375" bestFit="1" customWidth="1"/>
    <col min="2" max="6" width="14.6640625" customWidth="1"/>
  </cols>
  <sheetData>
    <row r="1" spans="1:19" ht="19.95" customHeight="1" x14ac:dyDescent="0.3">
      <c r="A1" s="42" t="s">
        <v>40</v>
      </c>
      <c r="B1" s="42"/>
      <c r="C1" s="42"/>
      <c r="D1" s="42"/>
      <c r="E1" s="42"/>
      <c r="F1" s="42"/>
    </row>
    <row r="3" spans="1:19" x14ac:dyDescent="0.3">
      <c r="A3" s="2" t="s">
        <v>1</v>
      </c>
      <c r="B3" s="1" t="s">
        <v>41</v>
      </c>
    </row>
    <row r="4" spans="1:19" x14ac:dyDescent="0.3">
      <c r="A4" s="2" t="s">
        <v>3</v>
      </c>
      <c r="B4" s="1" t="s">
        <v>20</v>
      </c>
    </row>
    <row r="6" spans="1:19" ht="28.95" customHeight="1" x14ac:dyDescent="0.3">
      <c r="A6" s="10" t="s">
        <v>29</v>
      </c>
      <c r="B6" s="45" t="s">
        <v>42</v>
      </c>
      <c r="C6" s="45"/>
      <c r="D6" s="45"/>
      <c r="E6" s="45"/>
      <c r="F6" s="45"/>
    </row>
    <row r="7" spans="1:19" ht="30" customHeight="1" x14ac:dyDescent="0.3">
      <c r="A7" s="4" t="s">
        <v>5</v>
      </c>
      <c r="B7" s="15" t="s">
        <v>56</v>
      </c>
      <c r="C7" s="15" t="s">
        <v>52</v>
      </c>
      <c r="D7" s="19" t="s">
        <v>53</v>
      </c>
      <c r="E7" s="15" t="s">
        <v>51</v>
      </c>
      <c r="F7" s="19" t="s">
        <v>43</v>
      </c>
    </row>
    <row r="8" spans="1:19" x14ac:dyDescent="0.3">
      <c r="A8" s="5">
        <v>1</v>
      </c>
      <c r="B8" s="6">
        <v>6.31</v>
      </c>
      <c r="C8" s="6">
        <v>31.1</v>
      </c>
      <c r="D8" s="6">
        <f>C8*10^(-6)</f>
        <v>3.1099999999999997E-5</v>
      </c>
      <c r="E8" s="6">
        <v>8.2900000000000001E-2</v>
      </c>
      <c r="F8" s="6">
        <f>E8/D8</f>
        <v>2665.5948553054664</v>
      </c>
      <c r="L8" s="24"/>
      <c r="M8" s="24"/>
      <c r="O8" s="24"/>
      <c r="P8" s="24"/>
      <c r="Q8" s="24"/>
      <c r="R8" s="24"/>
      <c r="S8" s="24"/>
    </row>
    <row r="9" spans="1:19" x14ac:dyDescent="0.3">
      <c r="A9" s="5">
        <v>2</v>
      </c>
      <c r="B9" s="6">
        <v>6.61</v>
      </c>
      <c r="C9" s="6">
        <v>34.1</v>
      </c>
      <c r="D9" s="6">
        <f t="shared" ref="D9:D27" si="0">C9*10^(-6)</f>
        <v>3.4100000000000002E-5</v>
      </c>
      <c r="E9" s="6">
        <v>0.254</v>
      </c>
      <c r="F9" s="6">
        <f t="shared" ref="F9:F27" si="1">E9/D9</f>
        <v>7448.6803519061577</v>
      </c>
      <c r="L9" s="24"/>
      <c r="M9" s="24"/>
      <c r="O9" s="24"/>
      <c r="P9" s="24"/>
      <c r="Q9" s="24"/>
    </row>
    <row r="10" spans="1:19" x14ac:dyDescent="0.3">
      <c r="A10" s="5">
        <v>3</v>
      </c>
      <c r="B10" s="6">
        <v>6.45</v>
      </c>
      <c r="C10" s="6">
        <v>32.700000000000003</v>
      </c>
      <c r="D10" s="6">
        <f t="shared" si="0"/>
        <v>3.2700000000000002E-5</v>
      </c>
      <c r="E10" s="6">
        <v>0.108</v>
      </c>
      <c r="F10" s="6">
        <f t="shared" si="1"/>
        <v>3302.7522935779816</v>
      </c>
      <c r="L10" s="24"/>
      <c r="M10" s="24"/>
      <c r="O10" s="24"/>
      <c r="P10" s="24"/>
      <c r="Q10" s="24"/>
      <c r="R10" s="24"/>
    </row>
    <row r="11" spans="1:19" x14ac:dyDescent="0.3">
      <c r="A11" s="5">
        <v>4</v>
      </c>
      <c r="B11" s="6">
        <v>6.43</v>
      </c>
      <c r="C11" s="6">
        <v>32.6</v>
      </c>
      <c r="D11" s="6">
        <f t="shared" si="0"/>
        <v>3.26E-5</v>
      </c>
      <c r="E11" s="6">
        <v>0.128</v>
      </c>
      <c r="F11" s="6">
        <f t="shared" si="1"/>
        <v>3926.3803680981596</v>
      </c>
      <c r="L11" s="24"/>
      <c r="M11" s="24"/>
      <c r="O11" s="24"/>
      <c r="P11" s="24"/>
      <c r="Q11" s="24"/>
    </row>
    <row r="12" spans="1:19" x14ac:dyDescent="0.3">
      <c r="A12" s="5">
        <v>5</v>
      </c>
      <c r="B12" s="6">
        <v>6.6</v>
      </c>
      <c r="C12" s="6">
        <v>34.200000000000003</v>
      </c>
      <c r="D12" s="6">
        <f t="shared" si="0"/>
        <v>3.4200000000000005E-5</v>
      </c>
      <c r="E12" s="6">
        <v>0.13200000000000001</v>
      </c>
      <c r="F12" s="6">
        <f t="shared" si="1"/>
        <v>3859.6491228070172</v>
      </c>
      <c r="L12" s="24"/>
      <c r="M12" s="24"/>
      <c r="O12" s="24"/>
      <c r="P12" s="24"/>
      <c r="Q12" s="24"/>
      <c r="S12" s="24"/>
    </row>
    <row r="13" spans="1:19" x14ac:dyDescent="0.3">
      <c r="A13" s="5">
        <v>6</v>
      </c>
      <c r="B13" s="6">
        <v>6.5</v>
      </c>
      <c r="C13" s="6">
        <v>33.200000000000003</v>
      </c>
      <c r="D13" s="6">
        <f t="shared" si="0"/>
        <v>3.3200000000000001E-5</v>
      </c>
      <c r="E13" s="6">
        <v>0.16</v>
      </c>
      <c r="F13" s="6">
        <f t="shared" si="1"/>
        <v>4819.2771084337346</v>
      </c>
      <c r="L13" s="24"/>
      <c r="M13" s="24"/>
      <c r="O13" s="24"/>
      <c r="P13" s="24"/>
      <c r="Q13" s="24"/>
    </row>
    <row r="14" spans="1:19" x14ac:dyDescent="0.3">
      <c r="A14" s="5">
        <v>7</v>
      </c>
      <c r="B14" s="6">
        <v>6.78</v>
      </c>
      <c r="C14" s="6">
        <v>36.1</v>
      </c>
      <c r="D14" s="6">
        <f t="shared" si="0"/>
        <v>3.6099999999999997E-5</v>
      </c>
      <c r="E14" s="6">
        <v>0.20200000000000001</v>
      </c>
      <c r="F14" s="6">
        <f t="shared" si="1"/>
        <v>5595.5678670360121</v>
      </c>
      <c r="L14" s="24"/>
      <c r="M14" s="24"/>
      <c r="O14" s="24"/>
      <c r="P14" s="24"/>
      <c r="Q14" s="24"/>
    </row>
    <row r="15" spans="1:19" x14ac:dyDescent="0.3">
      <c r="A15" s="5">
        <v>8</v>
      </c>
      <c r="B15" s="6">
        <v>6.95</v>
      </c>
      <c r="C15" s="6">
        <v>37.799999999999997</v>
      </c>
      <c r="D15" s="6">
        <f t="shared" si="0"/>
        <v>3.7799999999999997E-5</v>
      </c>
      <c r="E15" s="6">
        <v>0.126</v>
      </c>
      <c r="F15" s="6">
        <f t="shared" si="1"/>
        <v>3333.3333333333335</v>
      </c>
      <c r="L15" s="24"/>
      <c r="M15" s="24"/>
      <c r="O15" s="24"/>
      <c r="P15" s="24"/>
      <c r="Q15" s="24"/>
    </row>
    <row r="16" spans="1:19" x14ac:dyDescent="0.3">
      <c r="A16" s="5">
        <v>9</v>
      </c>
      <c r="B16" s="6">
        <v>7.74</v>
      </c>
      <c r="C16" s="6">
        <v>39.799999999999997</v>
      </c>
      <c r="D16" s="6">
        <f t="shared" si="0"/>
        <v>3.9799999999999998E-5</v>
      </c>
      <c r="E16" s="6">
        <v>0.14699999999999999</v>
      </c>
      <c r="F16" s="6">
        <f t="shared" si="1"/>
        <v>3693.4673366834172</v>
      </c>
      <c r="L16" s="24"/>
      <c r="M16" s="24"/>
      <c r="O16" s="24"/>
      <c r="P16" s="24"/>
      <c r="Q16" s="24"/>
    </row>
    <row r="17" spans="1:17" x14ac:dyDescent="0.3">
      <c r="A17" s="5">
        <v>10</v>
      </c>
      <c r="B17" s="6">
        <v>6.78</v>
      </c>
      <c r="C17" s="6">
        <v>36.4</v>
      </c>
      <c r="D17" s="6">
        <f t="shared" si="0"/>
        <v>3.6399999999999997E-5</v>
      </c>
      <c r="E17" s="6">
        <v>0.157</v>
      </c>
      <c r="F17" s="6">
        <f t="shared" si="1"/>
        <v>4313.1868131868132</v>
      </c>
      <c r="L17" s="24"/>
      <c r="M17" s="24"/>
      <c r="O17" s="24"/>
      <c r="P17" s="24"/>
      <c r="Q17" s="24"/>
    </row>
    <row r="18" spans="1:17" x14ac:dyDescent="0.3">
      <c r="A18" s="5">
        <v>11</v>
      </c>
      <c r="B18" s="6">
        <v>6.61</v>
      </c>
      <c r="C18" s="6">
        <v>34.4</v>
      </c>
      <c r="D18" s="6">
        <f t="shared" si="0"/>
        <v>3.4399999999999996E-5</v>
      </c>
      <c r="E18" s="6">
        <v>0.13800000000000001</v>
      </c>
      <c r="F18" s="6">
        <f t="shared" si="1"/>
        <v>4011.6279069767452</v>
      </c>
      <c r="L18" s="24"/>
      <c r="M18" s="24"/>
      <c r="O18" s="24"/>
      <c r="P18" s="24"/>
      <c r="Q18" s="24"/>
    </row>
    <row r="19" spans="1:17" x14ac:dyDescent="0.3">
      <c r="A19" s="5">
        <v>12</v>
      </c>
      <c r="B19" s="6">
        <v>6.74</v>
      </c>
      <c r="C19" s="6">
        <v>35.5</v>
      </c>
      <c r="D19" s="6">
        <f t="shared" si="0"/>
        <v>3.5499999999999996E-5</v>
      </c>
      <c r="E19" s="6">
        <v>0.104</v>
      </c>
      <c r="F19" s="6">
        <f t="shared" si="1"/>
        <v>2929.5774647887324</v>
      </c>
      <c r="L19" s="24"/>
      <c r="M19" s="24"/>
      <c r="O19" s="24"/>
      <c r="P19" s="24"/>
      <c r="Q19" s="24"/>
    </row>
    <row r="20" spans="1:17" x14ac:dyDescent="0.3">
      <c r="A20" s="5">
        <v>13</v>
      </c>
      <c r="B20" s="6">
        <v>6.85</v>
      </c>
      <c r="C20" s="6">
        <v>36.700000000000003</v>
      </c>
      <c r="D20" s="6">
        <f t="shared" si="0"/>
        <v>3.6700000000000004E-5</v>
      </c>
      <c r="E20" s="6">
        <v>0.159</v>
      </c>
      <c r="F20" s="6">
        <f t="shared" si="1"/>
        <v>4332.425068119891</v>
      </c>
      <c r="L20" s="24"/>
      <c r="M20" s="24"/>
      <c r="O20" s="24"/>
      <c r="P20" s="24"/>
      <c r="Q20" s="24"/>
    </row>
    <row r="21" spans="1:17" x14ac:dyDescent="0.3">
      <c r="A21" s="5">
        <v>14</v>
      </c>
      <c r="B21" s="6">
        <v>7.01</v>
      </c>
      <c r="C21" s="6">
        <v>38.6</v>
      </c>
      <c r="D21" s="6">
        <f t="shared" si="0"/>
        <v>3.8599999999999996E-5</v>
      </c>
      <c r="E21" s="6">
        <v>0.20100000000000001</v>
      </c>
      <c r="F21" s="6">
        <f t="shared" si="1"/>
        <v>5207.2538860103632</v>
      </c>
      <c r="L21" s="24"/>
      <c r="M21" s="24"/>
      <c r="O21" s="24"/>
      <c r="P21" s="24"/>
      <c r="Q21" s="24"/>
    </row>
    <row r="22" spans="1:17" x14ac:dyDescent="0.3">
      <c r="A22" s="5">
        <v>15</v>
      </c>
      <c r="B22" s="6">
        <v>7.22</v>
      </c>
      <c r="C22" s="6">
        <v>40.799999999999997</v>
      </c>
      <c r="D22" s="6">
        <f t="shared" si="0"/>
        <v>4.0799999999999996E-5</v>
      </c>
      <c r="E22" s="6">
        <v>0.14799999999999999</v>
      </c>
      <c r="F22" s="6">
        <f t="shared" si="1"/>
        <v>3627.4509803921569</v>
      </c>
      <c r="L22" s="24"/>
      <c r="M22" s="24"/>
      <c r="O22" s="24"/>
      <c r="P22" s="24"/>
      <c r="Q22" s="24"/>
    </row>
    <row r="23" spans="1:17" x14ac:dyDescent="0.3">
      <c r="A23" s="5">
        <v>16</v>
      </c>
      <c r="B23" s="6">
        <v>7.03</v>
      </c>
      <c r="C23" s="6">
        <v>39</v>
      </c>
      <c r="D23" s="6">
        <f t="shared" si="0"/>
        <v>3.8999999999999999E-5</v>
      </c>
      <c r="E23" s="6">
        <v>0.13300000000000001</v>
      </c>
      <c r="F23" s="6">
        <f t="shared" si="1"/>
        <v>3410.2564102564106</v>
      </c>
      <c r="L23" s="24"/>
      <c r="M23" s="24"/>
      <c r="O23" s="24"/>
      <c r="P23" s="24"/>
      <c r="Q23" s="24"/>
    </row>
    <row r="24" spans="1:17" x14ac:dyDescent="0.3">
      <c r="A24" s="5">
        <v>17</v>
      </c>
      <c r="B24" s="6">
        <v>6.46</v>
      </c>
      <c r="C24" s="6">
        <v>32.799999999999997</v>
      </c>
      <c r="D24" s="6">
        <f t="shared" si="0"/>
        <v>3.2799999999999998E-5</v>
      </c>
      <c r="E24" s="6">
        <v>0.186</v>
      </c>
      <c r="F24" s="6">
        <f t="shared" si="1"/>
        <v>5670.7317073170734</v>
      </c>
      <c r="L24" s="24"/>
      <c r="M24" s="24"/>
      <c r="O24" s="24"/>
      <c r="P24" s="24"/>
      <c r="Q24" s="24"/>
    </row>
    <row r="25" spans="1:17" x14ac:dyDescent="0.3">
      <c r="A25" s="5">
        <v>18</v>
      </c>
      <c r="B25" s="6">
        <v>6.83</v>
      </c>
      <c r="C25" s="6">
        <v>36.799999999999997</v>
      </c>
      <c r="D25" s="6">
        <f t="shared" si="0"/>
        <v>3.6799999999999993E-5</v>
      </c>
      <c r="E25" s="6">
        <v>0.156</v>
      </c>
      <c r="F25" s="6">
        <f t="shared" si="1"/>
        <v>4239.1304347826099</v>
      </c>
      <c r="L25" s="24"/>
      <c r="M25" s="24"/>
      <c r="O25" s="24"/>
      <c r="P25" s="24"/>
      <c r="Q25" s="24"/>
    </row>
    <row r="26" spans="1:17" x14ac:dyDescent="0.3">
      <c r="A26" s="5">
        <v>19</v>
      </c>
      <c r="B26" s="6">
        <v>6.75</v>
      </c>
      <c r="C26" s="6">
        <v>35.799999999999997</v>
      </c>
      <c r="D26" s="6">
        <f t="shared" si="0"/>
        <v>3.5799999999999996E-5</v>
      </c>
      <c r="E26" s="6">
        <v>0.127</v>
      </c>
      <c r="F26" s="6">
        <f t="shared" si="1"/>
        <v>3547.4860335195535</v>
      </c>
      <c r="L26" s="24"/>
      <c r="M26" s="24"/>
      <c r="P26" s="24"/>
      <c r="Q26" s="24"/>
    </row>
    <row r="27" spans="1:17" x14ac:dyDescent="0.3">
      <c r="A27" s="5">
        <v>20</v>
      </c>
      <c r="B27" s="6">
        <v>6.41</v>
      </c>
      <c r="C27" s="6">
        <v>32.200000000000003</v>
      </c>
      <c r="D27" s="6">
        <f t="shared" si="0"/>
        <v>3.2200000000000003E-5</v>
      </c>
      <c r="E27" s="6">
        <v>0.17299999999999999</v>
      </c>
      <c r="F27" s="6">
        <f t="shared" si="1"/>
        <v>5372.6708074534154</v>
      </c>
      <c r="L27" s="24"/>
      <c r="M27" s="24"/>
      <c r="P27" s="24"/>
      <c r="Q27" s="24"/>
    </row>
    <row r="28" spans="1:17" x14ac:dyDescent="0.3">
      <c r="A28" s="5" t="s">
        <v>69</v>
      </c>
      <c r="B28" s="6"/>
      <c r="C28" s="6"/>
      <c r="D28" s="6"/>
      <c r="E28" s="6"/>
      <c r="F28">
        <v>5338.4038399999999</v>
      </c>
      <c r="L28" s="24"/>
      <c r="M28" s="24"/>
      <c r="O28" s="24"/>
      <c r="P28" s="24"/>
      <c r="Q28" s="24"/>
    </row>
    <row r="29" spans="1:17" x14ac:dyDescent="0.3">
      <c r="A29" s="25" t="s">
        <v>46</v>
      </c>
      <c r="B29" t="s">
        <v>47</v>
      </c>
      <c r="L29" s="24"/>
      <c r="M29" s="24"/>
      <c r="O29" s="24"/>
      <c r="P29" s="24"/>
      <c r="Q29" s="24"/>
    </row>
    <row r="30" spans="1:17" x14ac:dyDescent="0.3">
      <c r="A30" s="21"/>
      <c r="E30" s="23" t="s">
        <v>54</v>
      </c>
      <c r="F30" s="3">
        <f>MAX(F8:F28)</f>
        <v>7448.6803519061577</v>
      </c>
      <c r="L30" s="24"/>
      <c r="M30" s="24"/>
      <c r="O30" s="24"/>
      <c r="P30" s="24"/>
      <c r="Q30" s="24"/>
    </row>
    <row r="31" spans="1:17" x14ac:dyDescent="0.3">
      <c r="B31" s="40"/>
      <c r="C31" s="40"/>
      <c r="D31" s="9"/>
      <c r="E31" s="23" t="s">
        <v>55</v>
      </c>
      <c r="F31" s="3">
        <f>MIN(F8:F28)</f>
        <v>2665.5948553054664</v>
      </c>
      <c r="L31" s="24"/>
      <c r="M31" s="24"/>
      <c r="O31" s="24"/>
      <c r="P31" s="24"/>
      <c r="Q31" s="24"/>
    </row>
    <row r="32" spans="1:17" x14ac:dyDescent="0.3">
      <c r="A32" s="21"/>
      <c r="E32" s="23" t="s">
        <v>9</v>
      </c>
      <c r="F32" s="3">
        <f>AVERAGE(F8:F28)</f>
        <v>4316.4239995230964</v>
      </c>
      <c r="L32" s="24"/>
      <c r="M32" s="24"/>
      <c r="O32" s="24"/>
      <c r="P32" s="24"/>
      <c r="Q32" s="24"/>
    </row>
    <row r="33" spans="1:17" x14ac:dyDescent="0.3">
      <c r="B33" s="40"/>
      <c r="C33" s="40"/>
      <c r="D33" s="9"/>
      <c r="L33" s="24"/>
      <c r="M33" s="24"/>
      <c r="O33" s="24"/>
      <c r="P33" s="24"/>
      <c r="Q33" s="24"/>
    </row>
    <row r="34" spans="1:17" x14ac:dyDescent="0.3">
      <c r="A34" t="s">
        <v>11</v>
      </c>
      <c r="B34" s="40" t="s">
        <v>74</v>
      </c>
      <c r="C34" s="40"/>
      <c r="D34" s="40"/>
      <c r="E34" s="40"/>
      <c r="F34" s="40"/>
      <c r="L34" s="24"/>
      <c r="M34" s="24"/>
      <c r="O34" s="24"/>
      <c r="P34" s="24"/>
      <c r="Q34" s="24"/>
    </row>
    <row r="35" spans="1:17" ht="60" customHeight="1" x14ac:dyDescent="0.3">
      <c r="B35" s="40"/>
      <c r="C35" s="40"/>
      <c r="D35" s="40"/>
      <c r="E35" s="40"/>
      <c r="F35" s="40"/>
      <c r="L35" s="24"/>
      <c r="M35" s="24"/>
      <c r="O35" s="24"/>
      <c r="P35" s="24"/>
      <c r="Q35" s="24"/>
    </row>
    <row r="36" spans="1:17" ht="28.95" customHeight="1" x14ac:dyDescent="0.3">
      <c r="A36" s="10" t="s">
        <v>13</v>
      </c>
      <c r="B36" s="43" t="s">
        <v>44</v>
      </c>
      <c r="C36" s="40"/>
      <c r="D36" s="40"/>
      <c r="E36" s="40"/>
      <c r="F36" s="40"/>
      <c r="L36" s="24"/>
      <c r="M36" s="24"/>
      <c r="O36" s="24"/>
      <c r="P36" s="24"/>
      <c r="Q36" s="24"/>
    </row>
    <row r="37" spans="1:17" ht="60" customHeight="1" x14ac:dyDescent="0.3">
      <c r="B37" s="43" t="s">
        <v>82</v>
      </c>
      <c r="C37" s="43"/>
      <c r="D37" s="43"/>
      <c r="E37" s="43"/>
      <c r="F37" s="43"/>
      <c r="L37" s="24"/>
      <c r="M37" s="24"/>
      <c r="O37" s="24"/>
      <c r="P37" s="24"/>
      <c r="Q37" s="24"/>
    </row>
    <row r="38" spans="1:17" x14ac:dyDescent="0.3">
      <c r="A38" t="s">
        <v>15</v>
      </c>
      <c r="B38" s="40" t="s">
        <v>45</v>
      </c>
      <c r="C38" s="40"/>
      <c r="D38" s="40"/>
      <c r="E38" s="40"/>
      <c r="F38" s="40"/>
      <c r="L38" s="24"/>
      <c r="M38" s="24"/>
      <c r="O38" s="24"/>
      <c r="P38" s="24"/>
      <c r="Q38" s="24"/>
    </row>
    <row r="39" spans="1:17" ht="60" customHeight="1" x14ac:dyDescent="0.3">
      <c r="B39" s="43" t="s">
        <v>81</v>
      </c>
      <c r="C39" s="43"/>
      <c r="D39" s="43"/>
      <c r="E39" s="43"/>
      <c r="F39" s="43"/>
      <c r="L39" s="24"/>
      <c r="M39" s="24"/>
      <c r="O39" s="24"/>
      <c r="P39" s="24"/>
      <c r="Q39" s="24"/>
    </row>
    <row r="40" spans="1:17" x14ac:dyDescent="0.3">
      <c r="A40" t="s">
        <v>18</v>
      </c>
      <c r="B40" s="40" t="s">
        <v>75</v>
      </c>
      <c r="C40" s="40"/>
      <c r="D40" s="40"/>
      <c r="E40" s="40"/>
      <c r="F40" s="40"/>
      <c r="L40" s="24"/>
      <c r="M40" s="24"/>
      <c r="O40" s="24"/>
      <c r="P40" s="24"/>
      <c r="Q40" s="24"/>
    </row>
    <row r="41" spans="1:17" x14ac:dyDescent="0.3">
      <c r="L41" s="24"/>
      <c r="M41" s="24"/>
      <c r="O41" s="24"/>
      <c r="P41" s="24"/>
      <c r="Q41" s="24"/>
    </row>
    <row r="42" spans="1:17" x14ac:dyDescent="0.3">
      <c r="L42" s="24"/>
      <c r="M42" s="24"/>
      <c r="O42" s="24"/>
      <c r="P42" s="24"/>
      <c r="Q42" s="24"/>
    </row>
    <row r="43" spans="1:17" x14ac:dyDescent="0.3">
      <c r="L43" s="24"/>
      <c r="M43" s="24"/>
      <c r="O43" s="24"/>
      <c r="P43" s="24"/>
      <c r="Q43" s="24"/>
    </row>
    <row r="44" spans="1:17" x14ac:dyDescent="0.3">
      <c r="L44" s="24"/>
      <c r="M44" s="24"/>
      <c r="O44" s="24"/>
      <c r="P44" s="24"/>
      <c r="Q44" s="24"/>
    </row>
    <row r="45" spans="1:17" x14ac:dyDescent="0.3">
      <c r="L45" s="24"/>
      <c r="M45" s="24"/>
      <c r="O45" s="24"/>
      <c r="P45" s="24"/>
      <c r="Q45" s="24"/>
    </row>
    <row r="46" spans="1:17" x14ac:dyDescent="0.3">
      <c r="L46" s="24"/>
      <c r="M46" s="24"/>
      <c r="O46" s="24"/>
      <c r="P46" s="24"/>
      <c r="Q46" s="24"/>
    </row>
    <row r="47" spans="1:17" x14ac:dyDescent="0.3">
      <c r="L47" s="24"/>
      <c r="M47" s="24"/>
      <c r="O47" s="24"/>
      <c r="P47" s="24"/>
      <c r="Q47" s="24"/>
    </row>
    <row r="48" spans="1:17" x14ac:dyDescent="0.3">
      <c r="L48" s="24"/>
      <c r="M48" s="24"/>
      <c r="O48" s="24"/>
      <c r="P48" s="24"/>
      <c r="Q48" s="24"/>
    </row>
    <row r="49" spans="12:17" x14ac:dyDescent="0.3">
      <c r="L49" s="24"/>
      <c r="M49" s="24"/>
      <c r="O49" s="24"/>
      <c r="P49" s="24"/>
      <c r="Q49" s="24"/>
    </row>
    <row r="50" spans="12:17" x14ac:dyDescent="0.3">
      <c r="L50" s="24"/>
      <c r="M50" s="24"/>
      <c r="O50" s="24"/>
      <c r="P50" s="24"/>
      <c r="Q50" s="24"/>
    </row>
    <row r="51" spans="12:17" x14ac:dyDescent="0.3">
      <c r="L51" s="24"/>
      <c r="M51" s="24"/>
      <c r="O51" s="24"/>
      <c r="P51" s="24"/>
      <c r="Q51" s="24"/>
    </row>
    <row r="52" spans="12:17" x14ac:dyDescent="0.3">
      <c r="L52" s="24"/>
      <c r="M52" s="24"/>
      <c r="O52" s="24"/>
      <c r="P52" s="24"/>
      <c r="Q52" s="24"/>
    </row>
    <row r="53" spans="12:17" x14ac:dyDescent="0.3">
      <c r="L53" s="24"/>
      <c r="M53" s="24"/>
      <c r="O53" s="24"/>
      <c r="P53" s="24"/>
      <c r="Q53" s="24"/>
    </row>
    <row r="54" spans="12:17" x14ac:dyDescent="0.3">
      <c r="L54" s="24"/>
      <c r="M54" s="24"/>
      <c r="O54" s="24"/>
      <c r="P54" s="24"/>
      <c r="Q54" s="24"/>
    </row>
    <row r="55" spans="12:17" x14ac:dyDescent="0.3">
      <c r="L55" s="24"/>
      <c r="M55" s="24"/>
      <c r="O55" s="24"/>
      <c r="P55" s="24"/>
      <c r="Q55" s="24"/>
    </row>
    <row r="56" spans="12:17" x14ac:dyDescent="0.3">
      <c r="L56" s="24"/>
      <c r="M56" s="24"/>
      <c r="O56" s="24"/>
      <c r="P56" s="24"/>
      <c r="Q56" s="24"/>
    </row>
    <row r="57" spans="12:17" x14ac:dyDescent="0.3">
      <c r="L57" s="24"/>
      <c r="M57" s="24"/>
      <c r="O57" s="24"/>
      <c r="P57" s="24"/>
      <c r="Q57" s="24"/>
    </row>
    <row r="58" spans="12:17" x14ac:dyDescent="0.3">
      <c r="L58" s="24"/>
      <c r="M58" s="24"/>
      <c r="O58" s="24"/>
      <c r="P58" s="24"/>
      <c r="Q58" s="24"/>
    </row>
    <row r="59" spans="12:17" x14ac:dyDescent="0.3">
      <c r="L59" s="24"/>
      <c r="M59" s="24"/>
      <c r="O59" s="24"/>
      <c r="P59" s="24"/>
      <c r="Q59" s="24"/>
    </row>
    <row r="60" spans="12:17" x14ac:dyDescent="0.3">
      <c r="L60" s="24"/>
      <c r="M60" s="24"/>
      <c r="O60" s="24"/>
      <c r="P60" s="24"/>
      <c r="Q60" s="24"/>
    </row>
    <row r="61" spans="12:17" x14ac:dyDescent="0.3">
      <c r="L61" s="24"/>
      <c r="M61" s="24"/>
      <c r="O61" s="24"/>
      <c r="P61" s="24"/>
      <c r="Q61" s="24"/>
    </row>
    <row r="62" spans="12:17" x14ac:dyDescent="0.3">
      <c r="L62" s="24"/>
      <c r="M62" s="24"/>
      <c r="O62" s="24"/>
      <c r="P62" s="24"/>
      <c r="Q62" s="24"/>
    </row>
    <row r="63" spans="12:17" x14ac:dyDescent="0.3">
      <c r="L63" s="24"/>
      <c r="M63" s="24"/>
      <c r="O63" s="24"/>
      <c r="P63" s="24"/>
      <c r="Q63" s="24"/>
    </row>
    <row r="64" spans="12:17" x14ac:dyDescent="0.3">
      <c r="L64" s="24"/>
      <c r="M64" s="24"/>
      <c r="O64" s="24"/>
      <c r="P64" s="24"/>
      <c r="Q64" s="24"/>
    </row>
    <row r="65" spans="12:17" x14ac:dyDescent="0.3">
      <c r="L65" s="24"/>
      <c r="M65" s="24"/>
      <c r="O65" s="24"/>
      <c r="P65" s="24"/>
      <c r="Q65" s="24"/>
    </row>
    <row r="66" spans="12:17" x14ac:dyDescent="0.3">
      <c r="L66" s="24"/>
      <c r="M66" s="24"/>
      <c r="O66" s="24"/>
      <c r="P66" s="24"/>
      <c r="Q66" s="24"/>
    </row>
    <row r="67" spans="12:17" x14ac:dyDescent="0.3">
      <c r="L67" s="24"/>
      <c r="M67" s="24"/>
      <c r="O67" s="24"/>
      <c r="P67" s="24"/>
      <c r="Q67" s="24"/>
    </row>
    <row r="68" spans="12:17" x14ac:dyDescent="0.3">
      <c r="L68" s="24"/>
      <c r="M68" s="24"/>
      <c r="O68" s="24"/>
      <c r="P68" s="24"/>
      <c r="Q68" s="24"/>
    </row>
    <row r="69" spans="12:17" x14ac:dyDescent="0.3">
      <c r="L69" s="24"/>
      <c r="M69" s="24"/>
      <c r="O69" s="24"/>
      <c r="P69" s="24"/>
      <c r="Q69" s="24"/>
    </row>
    <row r="70" spans="12:17" x14ac:dyDescent="0.3">
      <c r="L70" s="24"/>
      <c r="M70" s="24"/>
      <c r="O70" s="24"/>
      <c r="P70" s="24"/>
      <c r="Q70" s="24"/>
    </row>
    <row r="71" spans="12:17" x14ac:dyDescent="0.3">
      <c r="L71" s="24"/>
      <c r="M71" s="24"/>
      <c r="O71" s="24"/>
      <c r="P71" s="24"/>
      <c r="Q71" s="24"/>
    </row>
    <row r="72" spans="12:17" x14ac:dyDescent="0.3">
      <c r="L72" s="24"/>
      <c r="M72" s="24"/>
      <c r="O72" s="24"/>
      <c r="P72" s="24"/>
      <c r="Q72" s="24"/>
    </row>
    <row r="73" spans="12:17" x14ac:dyDescent="0.3">
      <c r="L73" s="24"/>
      <c r="M73" s="24"/>
      <c r="O73" s="24"/>
      <c r="P73" s="24"/>
      <c r="Q73" s="24"/>
    </row>
    <row r="74" spans="12:17" x14ac:dyDescent="0.3">
      <c r="L74" s="24"/>
      <c r="M74" s="24"/>
      <c r="O74" s="24"/>
      <c r="P74" s="24"/>
      <c r="Q74" s="24"/>
    </row>
    <row r="75" spans="12:17" x14ac:dyDescent="0.3">
      <c r="L75" s="24"/>
      <c r="M75" s="24"/>
      <c r="O75" s="24"/>
      <c r="P75" s="24"/>
      <c r="Q75" s="24"/>
    </row>
    <row r="76" spans="12:17" x14ac:dyDescent="0.3">
      <c r="L76" s="24"/>
      <c r="M76" s="24"/>
      <c r="O76" s="24"/>
      <c r="P76" s="24"/>
      <c r="Q76" s="24"/>
    </row>
    <row r="77" spans="12:17" x14ac:dyDescent="0.3">
      <c r="L77" s="24"/>
      <c r="M77" s="24"/>
      <c r="O77" s="24"/>
      <c r="P77" s="24"/>
      <c r="Q77" s="24"/>
    </row>
    <row r="78" spans="12:17" x14ac:dyDescent="0.3">
      <c r="L78" s="24"/>
      <c r="M78" s="24"/>
      <c r="O78" s="24"/>
      <c r="P78" s="24"/>
      <c r="Q78" s="24"/>
    </row>
    <row r="79" spans="12:17" x14ac:dyDescent="0.3">
      <c r="L79" s="24"/>
      <c r="M79" s="24"/>
      <c r="O79" s="24"/>
      <c r="P79" s="24"/>
      <c r="Q79" s="24"/>
    </row>
    <row r="80" spans="12:17" x14ac:dyDescent="0.3">
      <c r="L80" s="24"/>
      <c r="M80" s="24"/>
      <c r="O80" s="24"/>
      <c r="P80" s="24"/>
      <c r="Q80" s="24"/>
    </row>
    <row r="81" spans="12:17" x14ac:dyDescent="0.3">
      <c r="L81" s="24"/>
      <c r="M81" s="24"/>
      <c r="O81" s="24"/>
      <c r="P81" s="24"/>
      <c r="Q81" s="24"/>
    </row>
    <row r="82" spans="12:17" x14ac:dyDescent="0.3">
      <c r="L82" s="24"/>
      <c r="M82" s="24"/>
      <c r="O82" s="24"/>
      <c r="P82" s="24"/>
      <c r="Q82" s="24"/>
    </row>
    <row r="83" spans="12:17" x14ac:dyDescent="0.3">
      <c r="L83" s="24"/>
      <c r="M83" s="24"/>
      <c r="O83" s="24"/>
      <c r="P83" s="24"/>
      <c r="Q83" s="24"/>
    </row>
    <row r="84" spans="12:17" x14ac:dyDescent="0.3">
      <c r="L84" s="24"/>
      <c r="M84" s="24"/>
      <c r="O84" s="24"/>
      <c r="P84" s="24"/>
      <c r="Q84" s="24"/>
    </row>
    <row r="85" spans="12:17" x14ac:dyDescent="0.3">
      <c r="L85" s="24"/>
      <c r="M85" s="24"/>
      <c r="O85" s="24"/>
      <c r="P85" s="24"/>
      <c r="Q85" s="24"/>
    </row>
    <row r="86" spans="12:17" x14ac:dyDescent="0.3">
      <c r="L86" s="24"/>
      <c r="M86" s="24"/>
      <c r="O86" s="24"/>
      <c r="P86" s="24"/>
      <c r="Q86" s="24"/>
    </row>
    <row r="87" spans="12:17" x14ac:dyDescent="0.3">
      <c r="L87" s="24"/>
      <c r="M87" s="24"/>
      <c r="O87" s="24"/>
      <c r="P87" s="24"/>
      <c r="Q87" s="24"/>
    </row>
    <row r="88" spans="12:17" x14ac:dyDescent="0.3">
      <c r="L88" s="24"/>
      <c r="M88" s="24"/>
      <c r="O88" s="24"/>
      <c r="P88" s="24"/>
      <c r="Q88" s="24"/>
    </row>
    <row r="89" spans="12:17" x14ac:dyDescent="0.3">
      <c r="L89" s="24"/>
      <c r="M89" s="24"/>
      <c r="O89" s="24"/>
      <c r="P89" s="24"/>
      <c r="Q89" s="24"/>
    </row>
    <row r="90" spans="12:17" x14ac:dyDescent="0.3">
      <c r="L90" s="24"/>
      <c r="M90" s="24"/>
      <c r="O90" s="24"/>
      <c r="P90" s="24"/>
      <c r="Q90" s="24"/>
    </row>
    <row r="91" spans="12:17" x14ac:dyDescent="0.3">
      <c r="L91" s="24"/>
      <c r="M91" s="24"/>
      <c r="O91" s="24"/>
      <c r="P91" s="24"/>
      <c r="Q91" s="24"/>
    </row>
    <row r="92" spans="12:17" x14ac:dyDescent="0.3">
      <c r="L92" s="24"/>
      <c r="M92" s="24"/>
      <c r="O92" s="24"/>
      <c r="P92" s="24"/>
      <c r="Q92" s="24"/>
    </row>
    <row r="93" spans="12:17" x14ac:dyDescent="0.3">
      <c r="L93" s="24"/>
      <c r="M93" s="24"/>
      <c r="O93" s="24"/>
      <c r="P93" s="24"/>
      <c r="Q93" s="24"/>
    </row>
    <row r="94" spans="12:17" x14ac:dyDescent="0.3">
      <c r="L94" s="24"/>
      <c r="M94" s="24"/>
      <c r="O94" s="24"/>
      <c r="P94" s="24"/>
      <c r="Q94" s="24"/>
    </row>
    <row r="95" spans="12:17" x14ac:dyDescent="0.3">
      <c r="L95" s="24"/>
      <c r="M95" s="24"/>
      <c r="O95" s="24"/>
      <c r="P95" s="24"/>
      <c r="Q95" s="24"/>
    </row>
    <row r="96" spans="12:17" x14ac:dyDescent="0.3">
      <c r="L96" s="24"/>
      <c r="M96" s="24"/>
      <c r="O96" s="24"/>
      <c r="P96" s="24"/>
      <c r="Q96" s="24"/>
    </row>
    <row r="97" spans="12:17" x14ac:dyDescent="0.3">
      <c r="L97" s="24"/>
      <c r="M97" s="24"/>
      <c r="O97" s="24"/>
      <c r="P97" s="24"/>
      <c r="Q97" s="24"/>
    </row>
    <row r="98" spans="12:17" x14ac:dyDescent="0.3">
      <c r="L98" s="24"/>
      <c r="M98" s="24"/>
      <c r="O98" s="24"/>
      <c r="P98" s="24"/>
      <c r="Q98" s="24"/>
    </row>
    <row r="99" spans="12:17" x14ac:dyDescent="0.3">
      <c r="L99" s="24"/>
      <c r="M99" s="24"/>
      <c r="O99" s="24"/>
      <c r="P99" s="24"/>
      <c r="Q99" s="24"/>
    </row>
    <row r="100" spans="12:17" x14ac:dyDescent="0.3">
      <c r="L100" s="24"/>
      <c r="M100" s="24"/>
      <c r="O100" s="24"/>
      <c r="P100" s="24"/>
      <c r="Q100" s="24"/>
    </row>
    <row r="101" spans="12:17" x14ac:dyDescent="0.3">
      <c r="L101" s="24"/>
      <c r="M101" s="24"/>
      <c r="O101" s="24"/>
      <c r="P101" s="24"/>
      <c r="Q101" s="24"/>
    </row>
    <row r="102" spans="12:17" x14ac:dyDescent="0.3">
      <c r="L102" s="24"/>
      <c r="M102" s="24"/>
      <c r="O102" s="24"/>
      <c r="P102" s="24"/>
      <c r="Q102" s="24"/>
    </row>
    <row r="103" spans="12:17" x14ac:dyDescent="0.3">
      <c r="L103" s="24"/>
      <c r="M103" s="24"/>
      <c r="O103" s="24"/>
      <c r="P103" s="24"/>
      <c r="Q103" s="24"/>
    </row>
    <row r="104" spans="12:17" x14ac:dyDescent="0.3">
      <c r="L104" s="24"/>
      <c r="M104" s="24"/>
      <c r="O104" s="24"/>
      <c r="P104" s="24"/>
      <c r="Q104" s="24"/>
    </row>
    <row r="105" spans="12:17" x14ac:dyDescent="0.3">
      <c r="L105" s="24"/>
      <c r="M105" s="24"/>
      <c r="O105" s="24"/>
      <c r="P105" s="24"/>
      <c r="Q105" s="24"/>
    </row>
    <row r="106" spans="12:17" x14ac:dyDescent="0.3">
      <c r="L106" s="24"/>
      <c r="M106" s="24"/>
      <c r="O106" s="24"/>
      <c r="P106" s="24"/>
      <c r="Q106" s="24"/>
    </row>
    <row r="107" spans="12:17" x14ac:dyDescent="0.3">
      <c r="L107" s="24"/>
      <c r="M107" s="24"/>
      <c r="O107" s="24"/>
      <c r="P107" s="24"/>
      <c r="Q107" s="24"/>
    </row>
    <row r="108" spans="12:17" x14ac:dyDescent="0.3">
      <c r="L108" s="24"/>
      <c r="M108" s="24"/>
      <c r="O108" s="24"/>
      <c r="P108" s="24"/>
      <c r="Q108" s="24"/>
    </row>
    <row r="109" spans="12:17" x14ac:dyDescent="0.3">
      <c r="L109" s="24"/>
      <c r="M109" s="24"/>
      <c r="O109" s="24"/>
      <c r="P109" s="24"/>
      <c r="Q109" s="24"/>
    </row>
    <row r="110" spans="12:17" x14ac:dyDescent="0.3">
      <c r="L110" s="24"/>
      <c r="M110" s="24"/>
      <c r="O110" s="24"/>
      <c r="P110" s="24"/>
      <c r="Q110" s="24"/>
    </row>
    <row r="111" spans="12:17" x14ac:dyDescent="0.3">
      <c r="L111" s="24"/>
      <c r="M111" s="24"/>
      <c r="O111" s="24"/>
      <c r="P111" s="24"/>
      <c r="Q111" s="24"/>
    </row>
    <row r="112" spans="12:17" x14ac:dyDescent="0.3">
      <c r="L112" s="24"/>
      <c r="M112" s="24"/>
      <c r="O112" s="24"/>
      <c r="P112" s="24"/>
      <c r="Q112" s="24"/>
    </row>
    <row r="113" spans="12:17" x14ac:dyDescent="0.3">
      <c r="L113" s="24"/>
      <c r="M113" s="24"/>
      <c r="O113" s="24"/>
      <c r="P113" s="24"/>
      <c r="Q113" s="24"/>
    </row>
    <row r="114" spans="12:17" x14ac:dyDescent="0.3">
      <c r="L114" s="24"/>
      <c r="M114" s="24"/>
      <c r="O114" s="24"/>
      <c r="P114" s="24"/>
      <c r="Q114" s="24"/>
    </row>
    <row r="115" spans="12:17" x14ac:dyDescent="0.3">
      <c r="L115" s="24"/>
      <c r="M115" s="24"/>
      <c r="O115" s="24"/>
      <c r="P115" s="24"/>
      <c r="Q115" s="24"/>
    </row>
    <row r="116" spans="12:17" x14ac:dyDescent="0.3">
      <c r="L116" s="24"/>
      <c r="M116" s="24"/>
      <c r="O116" s="24"/>
      <c r="P116" s="24"/>
      <c r="Q116" s="24"/>
    </row>
    <row r="117" spans="12:17" x14ac:dyDescent="0.3">
      <c r="L117" s="24"/>
      <c r="M117" s="24"/>
      <c r="O117" s="24"/>
      <c r="P117" s="24"/>
      <c r="Q117" s="24"/>
    </row>
    <row r="118" spans="12:17" x14ac:dyDescent="0.3">
      <c r="L118" s="24"/>
      <c r="M118" s="24"/>
      <c r="O118" s="24"/>
      <c r="P118" s="24"/>
      <c r="Q118" s="24"/>
    </row>
    <row r="119" spans="12:17" x14ac:dyDescent="0.3">
      <c r="L119" s="24"/>
      <c r="M119" s="24"/>
      <c r="O119" s="24"/>
      <c r="P119" s="24"/>
      <c r="Q119" s="24"/>
    </row>
    <row r="120" spans="12:17" x14ac:dyDescent="0.3">
      <c r="L120" s="24"/>
      <c r="M120" s="24"/>
      <c r="O120" s="24"/>
      <c r="P120" s="24"/>
      <c r="Q120" s="24"/>
    </row>
    <row r="121" spans="12:17" x14ac:dyDescent="0.3">
      <c r="L121" s="24"/>
      <c r="M121" s="24"/>
      <c r="O121" s="24"/>
      <c r="P121" s="24"/>
      <c r="Q121" s="24"/>
    </row>
    <row r="122" spans="12:17" x14ac:dyDescent="0.3">
      <c r="L122" s="24"/>
      <c r="M122" s="24"/>
      <c r="O122" s="24"/>
      <c r="P122" s="24"/>
      <c r="Q122" s="24"/>
    </row>
    <row r="123" spans="12:17" x14ac:dyDescent="0.3">
      <c r="L123" s="24"/>
      <c r="M123" s="24"/>
      <c r="O123" s="24"/>
      <c r="P123" s="24"/>
      <c r="Q123" s="24"/>
    </row>
    <row r="124" spans="12:17" x14ac:dyDescent="0.3">
      <c r="L124" s="24"/>
      <c r="M124" s="24"/>
      <c r="O124" s="24"/>
      <c r="P124" s="24"/>
      <c r="Q124" s="24"/>
    </row>
    <row r="125" spans="12:17" x14ac:dyDescent="0.3">
      <c r="L125" s="24"/>
      <c r="M125" s="24"/>
      <c r="O125" s="24"/>
      <c r="P125" s="24"/>
      <c r="Q125" s="24"/>
    </row>
    <row r="126" spans="12:17" x14ac:dyDescent="0.3">
      <c r="L126" s="24"/>
      <c r="M126" s="24"/>
      <c r="O126" s="24"/>
      <c r="P126" s="24"/>
      <c r="Q126" s="24"/>
    </row>
    <row r="127" spans="12:17" x14ac:dyDescent="0.3">
      <c r="L127" s="24"/>
      <c r="M127" s="24"/>
      <c r="O127" s="24"/>
      <c r="P127" s="24"/>
      <c r="Q127" s="24"/>
    </row>
    <row r="128" spans="12:17" x14ac:dyDescent="0.3">
      <c r="L128" s="24"/>
      <c r="M128" s="24"/>
      <c r="O128" s="24"/>
      <c r="P128" s="24"/>
      <c r="Q128" s="24"/>
    </row>
    <row r="129" spans="12:17" x14ac:dyDescent="0.3">
      <c r="L129" s="24"/>
      <c r="M129" s="24"/>
      <c r="O129" s="24"/>
      <c r="P129" s="24"/>
      <c r="Q129" s="24"/>
    </row>
    <row r="130" spans="12:17" x14ac:dyDescent="0.3">
      <c r="L130" s="24"/>
      <c r="M130" s="24"/>
      <c r="O130" s="24"/>
      <c r="P130" s="24"/>
      <c r="Q130" s="24"/>
    </row>
    <row r="131" spans="12:17" x14ac:dyDescent="0.3">
      <c r="L131" s="24"/>
      <c r="M131" s="24"/>
      <c r="O131" s="24"/>
      <c r="P131" s="24"/>
      <c r="Q131" s="24"/>
    </row>
    <row r="132" spans="12:17" x14ac:dyDescent="0.3">
      <c r="L132" s="24"/>
      <c r="M132" s="24"/>
      <c r="O132" s="24"/>
      <c r="P132" s="24"/>
      <c r="Q132" s="24"/>
    </row>
    <row r="133" spans="12:17" x14ac:dyDescent="0.3">
      <c r="L133" s="24"/>
      <c r="M133" s="24"/>
      <c r="O133" s="24"/>
      <c r="P133" s="24"/>
      <c r="Q133" s="24"/>
    </row>
    <row r="134" spans="12:17" x14ac:dyDescent="0.3">
      <c r="L134" s="24"/>
      <c r="M134" s="24"/>
      <c r="O134" s="24"/>
      <c r="P134" s="24"/>
      <c r="Q134" s="24"/>
    </row>
    <row r="135" spans="12:17" x14ac:dyDescent="0.3">
      <c r="L135" s="24"/>
      <c r="M135" s="24"/>
      <c r="O135" s="24"/>
      <c r="P135" s="24"/>
      <c r="Q135" s="24"/>
    </row>
    <row r="136" spans="12:17" x14ac:dyDescent="0.3">
      <c r="L136" s="24"/>
      <c r="M136" s="24"/>
      <c r="O136" s="24"/>
      <c r="P136" s="24"/>
      <c r="Q136" s="24"/>
    </row>
    <row r="137" spans="12:17" x14ac:dyDescent="0.3">
      <c r="L137" s="24"/>
      <c r="M137" s="24"/>
      <c r="O137" s="24"/>
      <c r="P137" s="24"/>
      <c r="Q137" s="24"/>
    </row>
    <row r="138" spans="12:17" x14ac:dyDescent="0.3">
      <c r="L138" s="24"/>
      <c r="M138" s="24"/>
      <c r="O138" s="24"/>
      <c r="P138" s="24"/>
      <c r="Q138" s="24"/>
    </row>
    <row r="139" spans="12:17" x14ac:dyDescent="0.3">
      <c r="L139" s="24"/>
      <c r="M139" s="24"/>
      <c r="O139" s="24"/>
      <c r="P139" s="24"/>
      <c r="Q139" s="24"/>
    </row>
    <row r="140" spans="12:17" x14ac:dyDescent="0.3">
      <c r="L140" s="24"/>
      <c r="M140" s="24"/>
      <c r="O140" s="24"/>
      <c r="P140" s="24"/>
      <c r="Q140" s="24"/>
    </row>
    <row r="141" spans="12:17" x14ac:dyDescent="0.3">
      <c r="L141" s="24"/>
      <c r="M141" s="24"/>
      <c r="O141" s="24"/>
      <c r="P141" s="24"/>
      <c r="Q141" s="24"/>
    </row>
    <row r="142" spans="12:17" x14ac:dyDescent="0.3">
      <c r="L142" s="24"/>
      <c r="M142" s="24"/>
      <c r="O142" s="24"/>
      <c r="P142" s="24"/>
      <c r="Q142" s="24"/>
    </row>
    <row r="143" spans="12:17" x14ac:dyDescent="0.3">
      <c r="L143" s="24"/>
      <c r="M143" s="24"/>
      <c r="O143" s="24"/>
      <c r="P143" s="24"/>
      <c r="Q143" s="24"/>
    </row>
    <row r="144" spans="12:17" x14ac:dyDescent="0.3">
      <c r="L144" s="24"/>
      <c r="M144" s="24"/>
      <c r="O144" s="24"/>
      <c r="P144" s="24"/>
      <c r="Q144" s="24"/>
    </row>
    <row r="145" spans="12:17" x14ac:dyDescent="0.3">
      <c r="L145" s="24"/>
      <c r="M145" s="24"/>
      <c r="O145" s="24"/>
      <c r="P145" s="24"/>
      <c r="Q145" s="24"/>
    </row>
    <row r="146" spans="12:17" x14ac:dyDescent="0.3">
      <c r="L146" s="24"/>
      <c r="M146" s="24"/>
      <c r="O146" s="24"/>
      <c r="P146" s="24"/>
      <c r="Q146" s="24"/>
    </row>
    <row r="147" spans="12:17" x14ac:dyDescent="0.3">
      <c r="L147" s="24"/>
      <c r="M147" s="24"/>
      <c r="O147" s="24"/>
      <c r="P147" s="24"/>
      <c r="Q147" s="24"/>
    </row>
    <row r="148" spans="12:17" x14ac:dyDescent="0.3">
      <c r="L148" s="24"/>
      <c r="M148" s="24"/>
      <c r="O148" s="24"/>
      <c r="P148" s="24"/>
      <c r="Q148" s="24"/>
    </row>
    <row r="149" spans="12:17" x14ac:dyDescent="0.3">
      <c r="L149" s="24"/>
      <c r="M149" s="24"/>
      <c r="O149" s="24"/>
      <c r="P149" s="24"/>
      <c r="Q149" s="24"/>
    </row>
    <row r="150" spans="12:17" x14ac:dyDescent="0.3">
      <c r="L150" s="24"/>
      <c r="M150" s="24"/>
      <c r="O150" s="24"/>
      <c r="P150" s="24"/>
      <c r="Q150" s="24"/>
    </row>
    <row r="151" spans="12:17" x14ac:dyDescent="0.3">
      <c r="L151" s="24"/>
      <c r="M151" s="24"/>
      <c r="O151" s="24"/>
      <c r="P151" s="24"/>
      <c r="Q151" s="24"/>
    </row>
    <row r="152" spans="12:17" x14ac:dyDescent="0.3">
      <c r="L152" s="24"/>
      <c r="M152" s="24"/>
      <c r="O152" s="24"/>
      <c r="P152" s="24"/>
      <c r="Q152" s="24"/>
    </row>
    <row r="153" spans="12:17" x14ac:dyDescent="0.3">
      <c r="L153" s="24"/>
      <c r="M153" s="24"/>
      <c r="O153" s="24"/>
      <c r="P153" s="24"/>
      <c r="Q153" s="24"/>
    </row>
    <row r="154" spans="12:17" x14ac:dyDescent="0.3">
      <c r="L154" s="24"/>
      <c r="M154" s="24"/>
      <c r="O154" s="24"/>
      <c r="P154" s="24"/>
      <c r="Q154" s="24"/>
    </row>
    <row r="155" spans="12:17" x14ac:dyDescent="0.3">
      <c r="L155" s="24"/>
      <c r="M155" s="24"/>
      <c r="O155" s="24"/>
      <c r="P155" s="24"/>
      <c r="Q155" s="24"/>
    </row>
    <row r="156" spans="12:17" x14ac:dyDescent="0.3">
      <c r="L156" s="24"/>
      <c r="M156" s="24"/>
      <c r="O156" s="24"/>
      <c r="P156" s="24"/>
      <c r="Q156" s="24"/>
    </row>
    <row r="157" spans="12:17" x14ac:dyDescent="0.3">
      <c r="L157" s="24"/>
      <c r="M157" s="24"/>
      <c r="O157" s="24"/>
      <c r="P157" s="24"/>
      <c r="Q157" s="24"/>
    </row>
    <row r="158" spans="12:17" x14ac:dyDescent="0.3">
      <c r="L158" s="24"/>
      <c r="M158" s="24"/>
      <c r="O158" s="24"/>
      <c r="P158" s="24"/>
      <c r="Q158" s="24"/>
    </row>
    <row r="159" spans="12:17" x14ac:dyDescent="0.3">
      <c r="L159" s="24"/>
      <c r="M159" s="24"/>
      <c r="O159" s="24"/>
      <c r="P159" s="24"/>
      <c r="Q159" s="24"/>
    </row>
    <row r="160" spans="12:17" x14ac:dyDescent="0.3">
      <c r="L160" s="24"/>
      <c r="M160" s="24"/>
      <c r="O160" s="24"/>
      <c r="P160" s="24"/>
      <c r="Q160" s="24"/>
    </row>
    <row r="161" spans="12:17" x14ac:dyDescent="0.3">
      <c r="L161" s="24"/>
      <c r="M161" s="24"/>
      <c r="O161" s="24"/>
      <c r="P161" s="24"/>
      <c r="Q161" s="24"/>
    </row>
    <row r="162" spans="12:17" x14ac:dyDescent="0.3">
      <c r="L162" s="24"/>
      <c r="M162" s="24"/>
      <c r="O162" s="24"/>
      <c r="P162" s="24"/>
      <c r="Q162" s="24"/>
    </row>
    <row r="163" spans="12:17" x14ac:dyDescent="0.3">
      <c r="L163" s="24"/>
      <c r="M163" s="24"/>
      <c r="O163" s="24"/>
      <c r="P163" s="24"/>
      <c r="Q163" s="24"/>
    </row>
    <row r="164" spans="12:17" x14ac:dyDescent="0.3">
      <c r="L164" s="24"/>
      <c r="M164" s="24"/>
      <c r="O164" s="24"/>
      <c r="P164" s="24"/>
      <c r="Q164" s="24"/>
    </row>
    <row r="165" spans="12:17" x14ac:dyDescent="0.3">
      <c r="L165" s="24"/>
      <c r="M165" s="24"/>
      <c r="O165" s="24"/>
      <c r="P165" s="24"/>
      <c r="Q165" s="24"/>
    </row>
    <row r="166" spans="12:17" x14ac:dyDescent="0.3">
      <c r="L166" s="24"/>
      <c r="M166" s="24"/>
      <c r="O166" s="24"/>
      <c r="P166" s="24"/>
      <c r="Q166" s="24"/>
    </row>
    <row r="167" spans="12:17" x14ac:dyDescent="0.3">
      <c r="L167" s="24"/>
      <c r="M167" s="24"/>
      <c r="O167" s="24"/>
      <c r="P167" s="24"/>
      <c r="Q167" s="24"/>
    </row>
    <row r="168" spans="12:17" x14ac:dyDescent="0.3">
      <c r="L168" s="24"/>
      <c r="M168" s="24"/>
      <c r="O168" s="24"/>
      <c r="P168" s="24"/>
      <c r="Q168" s="24"/>
    </row>
    <row r="169" spans="12:17" x14ac:dyDescent="0.3">
      <c r="L169" s="24"/>
      <c r="M169" s="24"/>
      <c r="O169" s="24"/>
      <c r="P169" s="24"/>
      <c r="Q169" s="24"/>
    </row>
    <row r="170" spans="12:17" x14ac:dyDescent="0.3">
      <c r="L170" s="24"/>
      <c r="M170" s="24"/>
      <c r="O170" s="24"/>
      <c r="P170" s="24"/>
      <c r="Q170" s="24"/>
    </row>
    <row r="171" spans="12:17" x14ac:dyDescent="0.3">
      <c r="L171" s="24"/>
      <c r="M171" s="24"/>
      <c r="O171" s="24"/>
      <c r="P171" s="24"/>
      <c r="Q171" s="24"/>
    </row>
    <row r="172" spans="12:17" x14ac:dyDescent="0.3">
      <c r="L172" s="24"/>
      <c r="M172" s="24"/>
      <c r="O172" s="24"/>
      <c r="P172" s="24"/>
      <c r="Q172" s="24"/>
    </row>
    <row r="173" spans="12:17" x14ac:dyDescent="0.3">
      <c r="L173" s="24"/>
      <c r="M173" s="24"/>
      <c r="O173" s="24"/>
      <c r="P173" s="24"/>
      <c r="Q173" s="24"/>
    </row>
    <row r="174" spans="12:17" x14ac:dyDescent="0.3">
      <c r="L174" s="24"/>
      <c r="M174" s="24"/>
      <c r="O174" s="24"/>
      <c r="P174" s="24"/>
      <c r="Q174" s="24"/>
    </row>
    <row r="175" spans="12:17" x14ac:dyDescent="0.3">
      <c r="L175" s="24"/>
      <c r="M175" s="24"/>
      <c r="O175" s="24"/>
      <c r="P175" s="24"/>
      <c r="Q175" s="24"/>
    </row>
    <row r="176" spans="12:17" x14ac:dyDescent="0.3">
      <c r="L176" s="24"/>
      <c r="M176" s="24"/>
      <c r="O176" s="24"/>
      <c r="P176" s="24"/>
      <c r="Q176" s="24"/>
    </row>
    <row r="177" spans="12:17" x14ac:dyDescent="0.3">
      <c r="L177" s="24"/>
      <c r="M177" s="24"/>
      <c r="O177" s="24"/>
      <c r="P177" s="24"/>
      <c r="Q177" s="24"/>
    </row>
    <row r="178" spans="12:17" x14ac:dyDescent="0.3">
      <c r="L178" s="24"/>
      <c r="M178" s="24"/>
      <c r="O178" s="24"/>
      <c r="P178" s="24"/>
      <c r="Q178" s="24"/>
    </row>
    <row r="179" spans="12:17" x14ac:dyDescent="0.3">
      <c r="L179" s="24"/>
      <c r="M179" s="24"/>
      <c r="O179" s="24"/>
      <c r="P179" s="24"/>
      <c r="Q179" s="24"/>
    </row>
    <row r="180" spans="12:17" x14ac:dyDescent="0.3">
      <c r="L180" s="24"/>
      <c r="M180" s="24"/>
      <c r="O180" s="24"/>
      <c r="P180" s="24"/>
      <c r="Q180" s="24"/>
    </row>
    <row r="181" spans="12:17" x14ac:dyDescent="0.3">
      <c r="L181" s="24"/>
      <c r="M181" s="24"/>
      <c r="O181" s="24"/>
      <c r="P181" s="24"/>
      <c r="Q181" s="24"/>
    </row>
    <row r="182" spans="12:17" x14ac:dyDescent="0.3">
      <c r="L182" s="24"/>
      <c r="M182" s="24"/>
      <c r="O182" s="24"/>
      <c r="P182" s="24"/>
      <c r="Q182" s="24"/>
    </row>
    <row r="183" spans="12:17" x14ac:dyDescent="0.3">
      <c r="L183" s="24"/>
      <c r="M183" s="24"/>
      <c r="O183" s="24"/>
      <c r="P183" s="24"/>
      <c r="Q183" s="24"/>
    </row>
    <row r="184" spans="12:17" x14ac:dyDescent="0.3">
      <c r="L184" s="24"/>
      <c r="M184" s="24"/>
      <c r="O184" s="24"/>
      <c r="P184" s="24"/>
      <c r="Q184" s="24"/>
    </row>
    <row r="185" spans="12:17" x14ac:dyDescent="0.3">
      <c r="L185" s="24"/>
      <c r="M185" s="24"/>
      <c r="O185" s="24"/>
      <c r="P185" s="24"/>
      <c r="Q185" s="24"/>
    </row>
    <row r="186" spans="12:17" x14ac:dyDescent="0.3">
      <c r="L186" s="24"/>
      <c r="M186" s="24"/>
      <c r="O186" s="24"/>
      <c r="P186" s="24"/>
      <c r="Q186" s="24"/>
    </row>
    <row r="187" spans="12:17" x14ac:dyDescent="0.3">
      <c r="L187" s="24"/>
      <c r="M187" s="24"/>
      <c r="O187" s="24"/>
      <c r="P187" s="24"/>
      <c r="Q187" s="24"/>
    </row>
    <row r="188" spans="12:17" x14ac:dyDescent="0.3">
      <c r="L188" s="24"/>
      <c r="M188" s="24"/>
      <c r="O188" s="24"/>
      <c r="P188" s="24"/>
      <c r="Q188" s="24"/>
    </row>
    <row r="189" spans="12:17" x14ac:dyDescent="0.3">
      <c r="L189" s="24"/>
      <c r="M189" s="24"/>
      <c r="O189" s="24"/>
      <c r="P189" s="24"/>
      <c r="Q189" s="24"/>
    </row>
    <row r="190" spans="12:17" x14ac:dyDescent="0.3">
      <c r="L190" s="24"/>
      <c r="M190" s="24"/>
      <c r="O190" s="24"/>
      <c r="P190" s="24"/>
      <c r="Q190" s="24"/>
    </row>
    <row r="191" spans="12:17" x14ac:dyDescent="0.3">
      <c r="L191" s="24"/>
      <c r="M191" s="24"/>
      <c r="O191" s="24"/>
      <c r="P191" s="24"/>
      <c r="Q191" s="24"/>
    </row>
    <row r="192" spans="12:17" x14ac:dyDescent="0.3">
      <c r="L192" s="24"/>
      <c r="M192" s="24"/>
      <c r="O192" s="24"/>
      <c r="P192" s="24"/>
      <c r="Q192" s="24"/>
    </row>
    <row r="193" spans="12:17" x14ac:dyDescent="0.3">
      <c r="L193" s="24"/>
      <c r="M193" s="24"/>
      <c r="O193" s="24"/>
      <c r="P193" s="24"/>
      <c r="Q193" s="24"/>
    </row>
    <row r="194" spans="12:17" x14ac:dyDescent="0.3">
      <c r="L194" s="24"/>
      <c r="M194" s="24"/>
      <c r="O194" s="24"/>
      <c r="P194" s="24"/>
      <c r="Q194" s="24"/>
    </row>
    <row r="195" spans="12:17" x14ac:dyDescent="0.3">
      <c r="L195" s="24"/>
      <c r="M195" s="24"/>
      <c r="O195" s="24"/>
      <c r="P195" s="24"/>
      <c r="Q195" s="24"/>
    </row>
    <row r="196" spans="12:17" x14ac:dyDescent="0.3">
      <c r="L196" s="24"/>
      <c r="M196" s="24"/>
      <c r="O196" s="24"/>
      <c r="P196" s="24"/>
      <c r="Q196" s="24"/>
    </row>
    <row r="197" spans="12:17" x14ac:dyDescent="0.3">
      <c r="L197" s="24"/>
      <c r="M197" s="24"/>
      <c r="O197" s="24"/>
      <c r="P197" s="24"/>
      <c r="Q197" s="24"/>
    </row>
    <row r="198" spans="12:17" x14ac:dyDescent="0.3">
      <c r="L198" s="24"/>
      <c r="M198" s="24"/>
      <c r="O198" s="24"/>
      <c r="P198" s="24"/>
      <c r="Q198" s="24"/>
    </row>
    <row r="199" spans="12:17" x14ac:dyDescent="0.3">
      <c r="L199" s="24"/>
      <c r="M199" s="24"/>
      <c r="O199" s="24"/>
      <c r="P199" s="24"/>
      <c r="Q199" s="24"/>
    </row>
    <row r="200" spans="12:17" x14ac:dyDescent="0.3">
      <c r="L200" s="24"/>
      <c r="M200" s="24"/>
      <c r="O200" s="24"/>
      <c r="P200" s="24"/>
      <c r="Q200" s="24"/>
    </row>
    <row r="201" spans="12:17" x14ac:dyDescent="0.3">
      <c r="L201" s="24"/>
      <c r="M201" s="24"/>
      <c r="O201" s="24"/>
      <c r="P201" s="24"/>
      <c r="Q201" s="24"/>
    </row>
    <row r="202" spans="12:17" x14ac:dyDescent="0.3">
      <c r="L202" s="24"/>
      <c r="M202" s="24"/>
      <c r="O202" s="24"/>
      <c r="P202" s="24"/>
      <c r="Q202" s="24"/>
    </row>
    <row r="203" spans="12:17" x14ac:dyDescent="0.3">
      <c r="L203" s="24"/>
      <c r="M203" s="24"/>
      <c r="O203" s="24"/>
      <c r="P203" s="24"/>
      <c r="Q203" s="24"/>
    </row>
    <row r="204" spans="12:17" x14ac:dyDescent="0.3">
      <c r="L204" s="24"/>
      <c r="M204" s="24"/>
      <c r="O204" s="24"/>
      <c r="P204" s="24"/>
      <c r="Q204" s="24"/>
    </row>
    <row r="205" spans="12:17" x14ac:dyDescent="0.3">
      <c r="L205" s="24"/>
      <c r="M205" s="24"/>
      <c r="O205" s="24"/>
      <c r="P205" s="24"/>
      <c r="Q205" s="24"/>
    </row>
    <row r="206" spans="12:17" x14ac:dyDescent="0.3">
      <c r="L206" s="24"/>
      <c r="M206" s="24"/>
      <c r="O206" s="24"/>
      <c r="P206" s="24"/>
      <c r="Q206" s="24"/>
    </row>
    <row r="207" spans="12:17" x14ac:dyDescent="0.3">
      <c r="L207" s="24"/>
      <c r="M207" s="24"/>
      <c r="O207" s="24"/>
      <c r="P207" s="24"/>
      <c r="Q207" s="24"/>
    </row>
    <row r="208" spans="12:17" x14ac:dyDescent="0.3">
      <c r="L208" s="24"/>
      <c r="M208" s="24"/>
      <c r="O208" s="24"/>
      <c r="P208" s="24"/>
      <c r="Q208" s="24"/>
    </row>
    <row r="209" spans="12:17" x14ac:dyDescent="0.3">
      <c r="L209" s="24"/>
      <c r="M209" s="24"/>
      <c r="O209" s="24"/>
      <c r="P209" s="24"/>
      <c r="Q209" s="24"/>
    </row>
    <row r="210" spans="12:17" x14ac:dyDescent="0.3">
      <c r="L210" s="24"/>
      <c r="M210" s="24"/>
      <c r="O210" s="24"/>
      <c r="P210" s="24"/>
      <c r="Q210" s="24"/>
    </row>
    <row r="211" spans="12:17" x14ac:dyDescent="0.3">
      <c r="L211" s="24"/>
      <c r="M211" s="24"/>
      <c r="O211" s="24"/>
      <c r="P211" s="24"/>
      <c r="Q211" s="24"/>
    </row>
    <row r="212" spans="12:17" x14ac:dyDescent="0.3">
      <c r="L212" s="24"/>
      <c r="M212" s="24"/>
      <c r="O212" s="24"/>
      <c r="P212" s="24"/>
      <c r="Q212" s="24"/>
    </row>
    <row r="213" spans="12:17" x14ac:dyDescent="0.3">
      <c r="L213" s="24"/>
      <c r="M213" s="24"/>
      <c r="O213" s="24"/>
      <c r="P213" s="24"/>
      <c r="Q213" s="24"/>
    </row>
    <row r="214" spans="12:17" x14ac:dyDescent="0.3">
      <c r="L214" s="24"/>
      <c r="M214" s="24"/>
      <c r="O214" s="24"/>
      <c r="P214" s="24"/>
      <c r="Q214" s="24"/>
    </row>
    <row r="215" spans="12:17" x14ac:dyDescent="0.3">
      <c r="L215" s="24"/>
      <c r="M215" s="24"/>
      <c r="O215" s="24"/>
      <c r="P215" s="24"/>
      <c r="Q215" s="24"/>
    </row>
    <row r="216" spans="12:17" x14ac:dyDescent="0.3">
      <c r="L216" s="24"/>
      <c r="M216" s="24"/>
      <c r="O216" s="24"/>
      <c r="P216" s="24"/>
      <c r="Q216" s="24"/>
    </row>
    <row r="217" spans="12:17" x14ac:dyDescent="0.3">
      <c r="L217" s="24"/>
      <c r="M217" s="24"/>
      <c r="O217" s="24"/>
      <c r="P217" s="24"/>
      <c r="Q217" s="24"/>
    </row>
    <row r="218" spans="12:17" x14ac:dyDescent="0.3">
      <c r="L218" s="24"/>
      <c r="M218" s="24"/>
      <c r="O218" s="24"/>
      <c r="P218" s="24"/>
      <c r="Q218" s="24"/>
    </row>
    <row r="219" spans="12:17" x14ac:dyDescent="0.3">
      <c r="L219" s="24"/>
      <c r="M219" s="24"/>
      <c r="O219" s="24"/>
      <c r="P219" s="24"/>
      <c r="Q219" s="24"/>
    </row>
    <row r="220" spans="12:17" x14ac:dyDescent="0.3">
      <c r="L220" s="24"/>
      <c r="M220" s="24"/>
      <c r="O220" s="24"/>
      <c r="P220" s="24"/>
      <c r="Q220" s="24"/>
    </row>
    <row r="221" spans="12:17" x14ac:dyDescent="0.3">
      <c r="L221" s="24"/>
      <c r="M221" s="24"/>
      <c r="O221" s="24"/>
      <c r="P221" s="24"/>
      <c r="Q221" s="24"/>
    </row>
    <row r="222" spans="12:17" x14ac:dyDescent="0.3">
      <c r="L222" s="24"/>
      <c r="M222" s="24"/>
      <c r="O222" s="24"/>
      <c r="P222" s="24"/>
      <c r="Q222" s="24"/>
    </row>
    <row r="223" spans="12:17" x14ac:dyDescent="0.3">
      <c r="L223" s="24"/>
      <c r="M223" s="24"/>
      <c r="O223" s="24"/>
      <c r="P223" s="24"/>
      <c r="Q223" s="24"/>
    </row>
    <row r="224" spans="12:17" x14ac:dyDescent="0.3">
      <c r="L224" s="24"/>
      <c r="M224" s="24"/>
      <c r="O224" s="24"/>
      <c r="P224" s="24"/>
      <c r="Q224" s="24"/>
    </row>
    <row r="225" spans="12:17" x14ac:dyDescent="0.3">
      <c r="L225" s="24"/>
      <c r="M225" s="24"/>
      <c r="O225" s="24"/>
      <c r="P225" s="24"/>
      <c r="Q225" s="24"/>
    </row>
    <row r="226" spans="12:17" x14ac:dyDescent="0.3">
      <c r="L226" s="24"/>
      <c r="M226" s="24"/>
      <c r="O226" s="24"/>
      <c r="P226" s="24"/>
      <c r="Q226" s="24"/>
    </row>
    <row r="227" spans="12:17" x14ac:dyDescent="0.3">
      <c r="L227" s="24"/>
      <c r="M227" s="24"/>
      <c r="O227" s="24"/>
      <c r="P227" s="24"/>
      <c r="Q227" s="24"/>
    </row>
    <row r="228" spans="12:17" x14ac:dyDescent="0.3">
      <c r="L228" s="24"/>
      <c r="M228" s="24"/>
      <c r="O228" s="24"/>
      <c r="P228" s="24"/>
      <c r="Q228" s="24"/>
    </row>
    <row r="229" spans="12:17" x14ac:dyDescent="0.3">
      <c r="L229" s="24"/>
      <c r="M229" s="24"/>
      <c r="O229" s="24"/>
      <c r="P229" s="24"/>
      <c r="Q229" s="24"/>
    </row>
    <row r="230" spans="12:17" x14ac:dyDescent="0.3">
      <c r="L230" s="24"/>
      <c r="M230" s="24"/>
      <c r="O230" s="24"/>
      <c r="P230" s="24"/>
      <c r="Q230" s="24"/>
    </row>
    <row r="231" spans="12:17" x14ac:dyDescent="0.3">
      <c r="L231" s="24"/>
      <c r="M231" s="24"/>
      <c r="O231" s="24"/>
      <c r="P231" s="24"/>
      <c r="Q231" s="24"/>
    </row>
    <row r="232" spans="12:17" x14ac:dyDescent="0.3">
      <c r="L232" s="24"/>
      <c r="M232" s="24"/>
      <c r="O232" s="24"/>
      <c r="P232" s="24"/>
      <c r="Q232" s="24"/>
    </row>
    <row r="233" spans="12:17" x14ac:dyDescent="0.3">
      <c r="L233" s="24"/>
      <c r="M233" s="24"/>
      <c r="O233" s="24"/>
      <c r="P233" s="24"/>
      <c r="Q233" s="24"/>
    </row>
    <row r="234" spans="12:17" x14ac:dyDescent="0.3">
      <c r="L234" s="24"/>
      <c r="M234" s="24"/>
      <c r="O234" s="24"/>
      <c r="P234" s="24"/>
      <c r="Q234" s="24"/>
    </row>
    <row r="235" spans="12:17" x14ac:dyDescent="0.3">
      <c r="L235" s="24"/>
      <c r="M235" s="24"/>
      <c r="O235" s="24"/>
      <c r="P235" s="24"/>
      <c r="Q235" s="24"/>
    </row>
    <row r="236" spans="12:17" x14ac:dyDescent="0.3">
      <c r="L236" s="24"/>
      <c r="M236" s="24"/>
      <c r="O236" s="24"/>
      <c r="P236" s="24"/>
      <c r="Q236" s="24"/>
    </row>
    <row r="237" spans="12:17" x14ac:dyDescent="0.3">
      <c r="L237" s="24"/>
      <c r="M237" s="24"/>
      <c r="O237" s="24"/>
      <c r="P237" s="24"/>
      <c r="Q237" s="24"/>
    </row>
    <row r="238" spans="12:17" x14ac:dyDescent="0.3">
      <c r="L238" s="24"/>
      <c r="M238" s="24"/>
      <c r="O238" s="24"/>
      <c r="P238" s="24"/>
      <c r="Q238" s="24"/>
    </row>
    <row r="239" spans="12:17" x14ac:dyDescent="0.3">
      <c r="L239" s="24"/>
      <c r="M239" s="24"/>
      <c r="O239" s="24"/>
      <c r="P239" s="24"/>
      <c r="Q239" s="24"/>
    </row>
    <row r="240" spans="12:17" x14ac:dyDescent="0.3">
      <c r="L240" s="24"/>
      <c r="M240" s="24"/>
      <c r="O240" s="24"/>
      <c r="P240" s="24"/>
      <c r="Q240" s="24"/>
    </row>
    <row r="241" spans="12:17" x14ac:dyDescent="0.3">
      <c r="L241" s="24"/>
      <c r="M241" s="24"/>
      <c r="O241" s="24"/>
      <c r="P241" s="24"/>
      <c r="Q241" s="24"/>
    </row>
    <row r="242" spans="12:17" x14ac:dyDescent="0.3">
      <c r="L242" s="24"/>
      <c r="M242" s="24"/>
      <c r="O242" s="24"/>
      <c r="P242" s="24"/>
      <c r="Q242" s="24"/>
    </row>
    <row r="243" spans="12:17" x14ac:dyDescent="0.3">
      <c r="L243" s="24"/>
      <c r="M243" s="24"/>
      <c r="O243" s="24"/>
      <c r="P243" s="24"/>
      <c r="Q243" s="24"/>
    </row>
    <row r="244" spans="12:17" x14ac:dyDescent="0.3">
      <c r="L244" s="24"/>
      <c r="M244" s="24"/>
      <c r="O244" s="24"/>
      <c r="P244" s="24"/>
      <c r="Q244" s="24"/>
    </row>
    <row r="245" spans="12:17" x14ac:dyDescent="0.3">
      <c r="L245" s="24"/>
      <c r="M245" s="24"/>
      <c r="O245" s="24"/>
      <c r="P245" s="24"/>
      <c r="Q245" s="24"/>
    </row>
    <row r="246" spans="12:17" x14ac:dyDescent="0.3">
      <c r="L246" s="24"/>
      <c r="M246" s="24"/>
      <c r="O246" s="24"/>
      <c r="P246" s="24"/>
      <c r="Q246" s="24"/>
    </row>
    <row r="247" spans="12:17" x14ac:dyDescent="0.3">
      <c r="L247" s="24"/>
      <c r="M247" s="24"/>
      <c r="O247" s="24"/>
      <c r="P247" s="24"/>
      <c r="Q247" s="24"/>
    </row>
    <row r="248" spans="12:17" x14ac:dyDescent="0.3">
      <c r="L248" s="24"/>
      <c r="M248" s="24"/>
      <c r="O248" s="24"/>
      <c r="P248" s="24"/>
      <c r="Q248" s="24"/>
    </row>
    <row r="249" spans="12:17" x14ac:dyDescent="0.3">
      <c r="L249" s="24"/>
      <c r="M249" s="24"/>
      <c r="O249" s="24"/>
      <c r="P249" s="24"/>
      <c r="Q249" s="24"/>
    </row>
    <row r="250" spans="12:17" x14ac:dyDescent="0.3">
      <c r="L250" s="24"/>
      <c r="M250" s="24"/>
      <c r="O250" s="24"/>
      <c r="P250" s="24"/>
      <c r="Q250" s="24"/>
    </row>
    <row r="251" spans="12:17" x14ac:dyDescent="0.3">
      <c r="L251" s="24"/>
      <c r="M251" s="24"/>
      <c r="O251" s="24"/>
      <c r="P251" s="24"/>
      <c r="Q251" s="24"/>
    </row>
    <row r="252" spans="12:17" x14ac:dyDescent="0.3">
      <c r="L252" s="24"/>
      <c r="M252" s="24"/>
      <c r="O252" s="24"/>
      <c r="P252" s="24"/>
      <c r="Q252" s="24"/>
    </row>
    <row r="253" spans="12:17" x14ac:dyDescent="0.3">
      <c r="L253" s="24"/>
      <c r="M253" s="24"/>
      <c r="O253" s="24"/>
      <c r="P253" s="24"/>
      <c r="Q253" s="24"/>
    </row>
    <row r="254" spans="12:17" x14ac:dyDescent="0.3">
      <c r="L254" s="24"/>
      <c r="M254" s="24"/>
      <c r="O254" s="24"/>
      <c r="P254" s="24"/>
      <c r="Q254" s="24"/>
    </row>
    <row r="255" spans="12:17" x14ac:dyDescent="0.3">
      <c r="L255" s="24"/>
      <c r="M255" s="24"/>
      <c r="O255" s="24"/>
      <c r="P255" s="24"/>
      <c r="Q255" s="24"/>
    </row>
    <row r="256" spans="12:17" x14ac:dyDescent="0.3">
      <c r="L256" s="24"/>
      <c r="M256" s="24"/>
      <c r="O256" s="24"/>
      <c r="P256" s="24"/>
      <c r="Q256" s="24"/>
    </row>
    <row r="257" spans="12:17" x14ac:dyDescent="0.3">
      <c r="L257" s="24"/>
      <c r="M257" s="24"/>
      <c r="O257" s="24"/>
      <c r="P257" s="24"/>
      <c r="Q257" s="24"/>
    </row>
    <row r="258" spans="12:17" x14ac:dyDescent="0.3">
      <c r="L258" s="24"/>
      <c r="M258" s="24"/>
      <c r="O258" s="24"/>
      <c r="P258" s="24"/>
      <c r="Q258" s="24"/>
    </row>
    <row r="259" spans="12:17" x14ac:dyDescent="0.3">
      <c r="L259" s="24"/>
      <c r="M259" s="24"/>
      <c r="O259" s="24"/>
      <c r="P259" s="24"/>
      <c r="Q259" s="24"/>
    </row>
    <row r="260" spans="12:17" x14ac:dyDescent="0.3">
      <c r="L260" s="24"/>
      <c r="M260" s="24"/>
      <c r="O260" s="24"/>
      <c r="P260" s="24"/>
      <c r="Q260" s="24"/>
    </row>
    <row r="261" spans="12:17" x14ac:dyDescent="0.3">
      <c r="L261" s="24"/>
      <c r="M261" s="24"/>
      <c r="O261" s="24"/>
      <c r="P261" s="24"/>
      <c r="Q261" s="24"/>
    </row>
    <row r="262" spans="12:17" x14ac:dyDescent="0.3">
      <c r="L262" s="24"/>
      <c r="M262" s="24"/>
      <c r="O262" s="24"/>
      <c r="P262" s="24"/>
      <c r="Q262" s="24"/>
    </row>
    <row r="263" spans="12:17" x14ac:dyDescent="0.3">
      <c r="L263" s="24"/>
      <c r="M263" s="24"/>
      <c r="O263" s="24"/>
      <c r="P263" s="24"/>
      <c r="Q263" s="24"/>
    </row>
    <row r="264" spans="12:17" x14ac:dyDescent="0.3">
      <c r="L264" s="24"/>
      <c r="M264" s="24"/>
      <c r="O264" s="24"/>
      <c r="P264" s="24"/>
      <c r="Q264" s="24"/>
    </row>
    <row r="265" spans="12:17" x14ac:dyDescent="0.3">
      <c r="L265" s="24"/>
      <c r="M265" s="24"/>
      <c r="O265" s="24"/>
      <c r="P265" s="24"/>
      <c r="Q265" s="24"/>
    </row>
    <row r="266" spans="12:17" x14ac:dyDescent="0.3">
      <c r="L266" s="24"/>
      <c r="M266" s="24"/>
      <c r="O266" s="24"/>
      <c r="P266" s="24"/>
      <c r="Q266" s="24"/>
    </row>
    <row r="267" spans="12:17" x14ac:dyDescent="0.3">
      <c r="L267" s="24"/>
      <c r="M267" s="24"/>
      <c r="O267" s="24"/>
      <c r="P267" s="24"/>
      <c r="Q267" s="24"/>
    </row>
    <row r="268" spans="12:17" x14ac:dyDescent="0.3">
      <c r="L268" s="24"/>
      <c r="M268" s="24"/>
      <c r="O268" s="24"/>
      <c r="P268" s="24"/>
      <c r="Q268" s="24"/>
    </row>
    <row r="269" spans="12:17" x14ac:dyDescent="0.3">
      <c r="L269" s="24"/>
      <c r="M269" s="24"/>
      <c r="O269" s="24"/>
      <c r="P269" s="24"/>
      <c r="Q269" s="24"/>
    </row>
    <row r="270" spans="12:17" x14ac:dyDescent="0.3">
      <c r="L270" s="24"/>
      <c r="M270" s="24"/>
      <c r="O270" s="24"/>
      <c r="P270" s="24"/>
      <c r="Q270" s="24"/>
    </row>
    <row r="271" spans="12:17" x14ac:dyDescent="0.3">
      <c r="L271" s="24"/>
      <c r="M271" s="24"/>
      <c r="O271" s="24"/>
      <c r="P271" s="24"/>
      <c r="Q271" s="24"/>
    </row>
    <row r="272" spans="12:17" x14ac:dyDescent="0.3">
      <c r="L272" s="24"/>
      <c r="M272" s="24"/>
      <c r="O272" s="24"/>
      <c r="P272" s="24"/>
      <c r="Q272" s="24"/>
    </row>
    <row r="273" spans="12:17" x14ac:dyDescent="0.3">
      <c r="L273" s="24"/>
      <c r="M273" s="24"/>
      <c r="O273" s="24"/>
      <c r="P273" s="24"/>
      <c r="Q273" s="24"/>
    </row>
    <row r="274" spans="12:17" x14ac:dyDescent="0.3">
      <c r="L274" s="24"/>
      <c r="M274" s="24"/>
      <c r="O274" s="24"/>
      <c r="P274" s="24"/>
      <c r="Q274" s="24"/>
    </row>
    <row r="275" spans="12:17" x14ac:dyDescent="0.3">
      <c r="L275" s="24"/>
      <c r="M275" s="24"/>
      <c r="O275" s="24"/>
      <c r="P275" s="24"/>
      <c r="Q275" s="24"/>
    </row>
    <row r="276" spans="12:17" x14ac:dyDescent="0.3">
      <c r="L276" s="24"/>
      <c r="M276" s="24"/>
      <c r="O276" s="24"/>
      <c r="P276" s="24"/>
      <c r="Q276" s="24"/>
    </row>
    <row r="277" spans="12:17" x14ac:dyDescent="0.3">
      <c r="L277" s="24"/>
      <c r="M277" s="24"/>
      <c r="O277" s="24"/>
      <c r="P277" s="24"/>
      <c r="Q277" s="24"/>
    </row>
    <row r="278" spans="12:17" x14ac:dyDescent="0.3">
      <c r="L278" s="24"/>
      <c r="M278" s="24"/>
      <c r="O278" s="24"/>
      <c r="P278" s="24"/>
      <c r="Q278" s="24"/>
    </row>
    <row r="279" spans="12:17" x14ac:dyDescent="0.3">
      <c r="L279" s="24"/>
      <c r="M279" s="24"/>
      <c r="O279" s="24"/>
      <c r="P279" s="24"/>
      <c r="Q279" s="24"/>
    </row>
    <row r="280" spans="12:17" x14ac:dyDescent="0.3">
      <c r="L280" s="24"/>
      <c r="M280" s="24"/>
      <c r="O280" s="24"/>
      <c r="P280" s="24"/>
      <c r="Q280" s="24"/>
    </row>
    <row r="281" spans="12:17" x14ac:dyDescent="0.3">
      <c r="L281" s="24"/>
      <c r="M281" s="24"/>
      <c r="O281" s="24"/>
      <c r="P281" s="24"/>
      <c r="Q281" s="24"/>
    </row>
    <row r="282" spans="12:17" x14ac:dyDescent="0.3">
      <c r="L282" s="24"/>
      <c r="M282" s="24"/>
      <c r="O282" s="24"/>
      <c r="P282" s="24"/>
      <c r="Q282" s="24"/>
    </row>
    <row r="283" spans="12:17" x14ac:dyDescent="0.3">
      <c r="L283" s="24"/>
      <c r="M283" s="24"/>
      <c r="O283" s="24"/>
      <c r="P283" s="24"/>
      <c r="Q283" s="24"/>
    </row>
    <row r="284" spans="12:17" x14ac:dyDescent="0.3">
      <c r="L284" s="24"/>
      <c r="M284" s="24"/>
      <c r="O284" s="24"/>
      <c r="P284" s="24"/>
      <c r="Q284" s="24"/>
    </row>
    <row r="285" spans="12:17" x14ac:dyDescent="0.3">
      <c r="L285" s="24"/>
      <c r="M285" s="24"/>
      <c r="O285" s="24"/>
      <c r="P285" s="24"/>
      <c r="Q285" s="24"/>
    </row>
    <row r="286" spans="12:17" x14ac:dyDescent="0.3">
      <c r="L286" s="24"/>
      <c r="M286" s="24"/>
      <c r="O286" s="24"/>
      <c r="P286" s="24"/>
      <c r="Q286" s="24"/>
    </row>
    <row r="287" spans="12:17" x14ac:dyDescent="0.3">
      <c r="L287" s="24"/>
      <c r="M287" s="24"/>
      <c r="O287" s="24"/>
      <c r="P287" s="24"/>
      <c r="Q287" s="24"/>
    </row>
    <row r="288" spans="12:17" x14ac:dyDescent="0.3">
      <c r="L288" s="24"/>
      <c r="M288" s="24"/>
      <c r="O288" s="24"/>
      <c r="P288" s="24"/>
      <c r="Q288" s="24"/>
    </row>
    <row r="289" spans="12:17" x14ac:dyDescent="0.3">
      <c r="L289" s="24"/>
      <c r="M289" s="24"/>
      <c r="O289" s="24"/>
      <c r="P289" s="24"/>
      <c r="Q289" s="24"/>
    </row>
    <row r="290" spans="12:17" x14ac:dyDescent="0.3">
      <c r="L290" s="24"/>
      <c r="M290" s="24"/>
      <c r="O290" s="24"/>
      <c r="P290" s="24"/>
      <c r="Q290" s="24"/>
    </row>
    <row r="291" spans="12:17" x14ac:dyDescent="0.3">
      <c r="L291" s="24"/>
      <c r="M291" s="24"/>
      <c r="O291" s="24"/>
      <c r="P291" s="24"/>
      <c r="Q291" s="24"/>
    </row>
    <row r="292" spans="12:17" x14ac:dyDescent="0.3">
      <c r="L292" s="24"/>
      <c r="M292" s="24"/>
      <c r="O292" s="24"/>
      <c r="P292" s="24"/>
      <c r="Q292" s="24"/>
    </row>
    <row r="293" spans="12:17" x14ac:dyDescent="0.3">
      <c r="L293" s="24"/>
      <c r="M293" s="24"/>
      <c r="O293" s="24"/>
      <c r="P293" s="24"/>
      <c r="Q293" s="24"/>
    </row>
    <row r="294" spans="12:17" x14ac:dyDescent="0.3">
      <c r="L294" s="24"/>
      <c r="M294" s="24"/>
      <c r="O294" s="24"/>
      <c r="P294" s="24"/>
      <c r="Q294" s="24"/>
    </row>
    <row r="295" spans="12:17" x14ac:dyDescent="0.3">
      <c r="L295" s="24"/>
      <c r="M295" s="24"/>
      <c r="O295" s="24"/>
      <c r="P295" s="24"/>
      <c r="Q295" s="24"/>
    </row>
    <row r="296" spans="12:17" x14ac:dyDescent="0.3">
      <c r="L296" s="24"/>
      <c r="M296" s="24"/>
      <c r="O296" s="24"/>
      <c r="P296" s="24"/>
      <c r="Q296" s="24"/>
    </row>
    <row r="297" spans="12:17" x14ac:dyDescent="0.3">
      <c r="L297" s="24"/>
      <c r="M297" s="24"/>
      <c r="O297" s="24"/>
      <c r="P297" s="24"/>
      <c r="Q297" s="24"/>
    </row>
    <row r="298" spans="12:17" x14ac:dyDescent="0.3">
      <c r="L298" s="24"/>
      <c r="M298" s="24"/>
      <c r="O298" s="24"/>
      <c r="P298" s="24"/>
      <c r="Q298" s="24"/>
    </row>
    <row r="299" spans="12:17" x14ac:dyDescent="0.3">
      <c r="L299" s="24"/>
      <c r="M299" s="24"/>
      <c r="O299" s="24"/>
      <c r="P299" s="24"/>
      <c r="Q299" s="24"/>
    </row>
    <row r="300" spans="12:17" x14ac:dyDescent="0.3">
      <c r="L300" s="24"/>
      <c r="M300" s="24"/>
      <c r="O300" s="24"/>
      <c r="P300" s="24"/>
      <c r="Q300" s="24"/>
    </row>
    <row r="301" spans="12:17" x14ac:dyDescent="0.3">
      <c r="L301" s="24"/>
      <c r="M301" s="24"/>
      <c r="O301" s="24"/>
      <c r="P301" s="24"/>
      <c r="Q301" s="24"/>
    </row>
    <row r="302" spans="12:17" x14ac:dyDescent="0.3">
      <c r="L302" s="24"/>
      <c r="M302" s="24"/>
      <c r="O302" s="24"/>
      <c r="P302" s="24"/>
      <c r="Q302" s="24"/>
    </row>
    <row r="303" spans="12:17" x14ac:dyDescent="0.3">
      <c r="L303" s="24"/>
      <c r="M303" s="24"/>
      <c r="O303" s="24"/>
      <c r="P303" s="24"/>
      <c r="Q303" s="24"/>
    </row>
    <row r="304" spans="12:17" x14ac:dyDescent="0.3">
      <c r="L304" s="24"/>
      <c r="M304" s="24"/>
      <c r="O304" s="24"/>
      <c r="P304" s="24"/>
      <c r="Q304" s="24"/>
    </row>
    <row r="305" spans="12:17" x14ac:dyDescent="0.3">
      <c r="L305" s="24"/>
      <c r="M305" s="24"/>
      <c r="O305" s="24"/>
      <c r="P305" s="24"/>
      <c r="Q305" s="24"/>
    </row>
    <row r="306" spans="12:17" x14ac:dyDescent="0.3">
      <c r="L306" s="24"/>
      <c r="M306" s="24"/>
      <c r="O306" s="24"/>
      <c r="P306" s="24"/>
      <c r="Q306" s="24"/>
    </row>
    <row r="307" spans="12:17" x14ac:dyDescent="0.3">
      <c r="L307" s="24"/>
      <c r="M307" s="24"/>
      <c r="O307" s="24"/>
      <c r="P307" s="24"/>
      <c r="Q307" s="24"/>
    </row>
    <row r="308" spans="12:17" x14ac:dyDescent="0.3">
      <c r="L308" s="24"/>
      <c r="M308" s="24"/>
      <c r="O308" s="24"/>
      <c r="P308" s="24"/>
      <c r="Q308" s="24"/>
    </row>
    <row r="309" spans="12:17" x14ac:dyDescent="0.3">
      <c r="L309" s="24"/>
      <c r="M309" s="24"/>
      <c r="O309" s="24"/>
      <c r="P309" s="24"/>
      <c r="Q309" s="24"/>
    </row>
    <row r="310" spans="12:17" x14ac:dyDescent="0.3">
      <c r="L310" s="24"/>
      <c r="M310" s="24"/>
      <c r="O310" s="24"/>
      <c r="P310" s="24"/>
      <c r="Q310" s="24"/>
    </row>
    <row r="311" spans="12:17" x14ac:dyDescent="0.3">
      <c r="L311" s="24"/>
      <c r="M311" s="24"/>
      <c r="O311" s="24"/>
      <c r="P311" s="24"/>
      <c r="Q311" s="24"/>
    </row>
    <row r="312" spans="12:17" x14ac:dyDescent="0.3">
      <c r="L312" s="24"/>
      <c r="M312" s="24"/>
      <c r="O312" s="24"/>
      <c r="P312" s="24"/>
      <c r="Q312" s="24"/>
    </row>
    <row r="313" spans="12:17" x14ac:dyDescent="0.3">
      <c r="L313" s="24"/>
      <c r="M313" s="24"/>
      <c r="O313" s="24"/>
      <c r="P313" s="24"/>
      <c r="Q313" s="24"/>
    </row>
    <row r="314" spans="12:17" x14ac:dyDescent="0.3">
      <c r="L314" s="24"/>
      <c r="M314" s="24"/>
      <c r="O314" s="24"/>
      <c r="P314" s="24"/>
      <c r="Q314" s="24"/>
    </row>
    <row r="315" spans="12:17" x14ac:dyDescent="0.3">
      <c r="L315" s="24"/>
      <c r="M315" s="24"/>
      <c r="O315" s="24"/>
      <c r="P315" s="24"/>
      <c r="Q315" s="24"/>
    </row>
    <row r="316" spans="12:17" x14ac:dyDescent="0.3">
      <c r="L316" s="24"/>
      <c r="M316" s="24"/>
      <c r="O316" s="24"/>
      <c r="P316" s="24"/>
      <c r="Q316" s="24"/>
    </row>
    <row r="317" spans="12:17" x14ac:dyDescent="0.3">
      <c r="L317" s="24"/>
      <c r="M317" s="24"/>
      <c r="O317" s="24"/>
      <c r="P317" s="24"/>
      <c r="Q317" s="24"/>
    </row>
    <row r="318" spans="12:17" x14ac:dyDescent="0.3">
      <c r="L318" s="24"/>
      <c r="M318" s="24"/>
      <c r="O318" s="24"/>
      <c r="P318" s="24"/>
      <c r="Q318" s="24"/>
    </row>
    <row r="319" spans="12:17" x14ac:dyDescent="0.3">
      <c r="L319" s="24"/>
      <c r="M319" s="24"/>
      <c r="O319" s="24"/>
      <c r="P319" s="24"/>
      <c r="Q319" s="24"/>
    </row>
    <row r="320" spans="12:17" x14ac:dyDescent="0.3">
      <c r="L320" s="24"/>
      <c r="M320" s="24"/>
      <c r="O320" s="24"/>
      <c r="P320" s="24"/>
      <c r="Q320" s="24"/>
    </row>
    <row r="321" spans="12:17" x14ac:dyDescent="0.3">
      <c r="L321" s="24"/>
      <c r="M321" s="24"/>
      <c r="O321" s="24"/>
      <c r="P321" s="24"/>
      <c r="Q321" s="24"/>
    </row>
    <row r="322" spans="12:17" x14ac:dyDescent="0.3">
      <c r="L322" s="24"/>
      <c r="M322" s="24"/>
      <c r="O322" s="24"/>
      <c r="P322" s="24"/>
      <c r="Q322" s="24"/>
    </row>
    <row r="323" spans="12:17" x14ac:dyDescent="0.3">
      <c r="L323" s="24"/>
      <c r="M323" s="24"/>
      <c r="O323" s="24"/>
      <c r="P323" s="24"/>
      <c r="Q323" s="24"/>
    </row>
    <row r="324" spans="12:17" x14ac:dyDescent="0.3">
      <c r="L324" s="24"/>
      <c r="M324" s="24"/>
      <c r="O324" s="24"/>
      <c r="P324" s="24"/>
      <c r="Q324" s="24"/>
    </row>
    <row r="325" spans="12:17" x14ac:dyDescent="0.3">
      <c r="L325" s="24"/>
      <c r="M325" s="24"/>
      <c r="O325" s="24"/>
      <c r="P325" s="24"/>
      <c r="Q325" s="24"/>
    </row>
    <row r="326" spans="12:17" x14ac:dyDescent="0.3">
      <c r="L326" s="24"/>
      <c r="M326" s="24"/>
      <c r="O326" s="24"/>
      <c r="P326" s="24"/>
      <c r="Q326" s="24"/>
    </row>
    <row r="327" spans="12:17" x14ac:dyDescent="0.3">
      <c r="L327" s="24"/>
      <c r="M327" s="24"/>
      <c r="O327" s="24"/>
      <c r="P327" s="24"/>
      <c r="Q327" s="24"/>
    </row>
    <row r="328" spans="12:17" x14ac:dyDescent="0.3">
      <c r="L328" s="24"/>
      <c r="M328" s="24"/>
      <c r="O328" s="24"/>
      <c r="P328" s="24"/>
      <c r="Q328" s="24"/>
    </row>
    <row r="329" spans="12:17" x14ac:dyDescent="0.3">
      <c r="L329" s="24"/>
      <c r="M329" s="24"/>
      <c r="O329" s="24"/>
      <c r="P329" s="24"/>
      <c r="Q329" s="24"/>
    </row>
    <row r="330" spans="12:17" x14ac:dyDescent="0.3">
      <c r="L330" s="24"/>
      <c r="M330" s="24"/>
      <c r="O330" s="24"/>
      <c r="P330" s="24"/>
      <c r="Q330" s="24"/>
    </row>
    <row r="331" spans="12:17" x14ac:dyDescent="0.3">
      <c r="L331" s="24"/>
      <c r="M331" s="24"/>
      <c r="O331" s="24"/>
      <c r="P331" s="24"/>
      <c r="Q331" s="24"/>
    </row>
    <row r="332" spans="12:17" x14ac:dyDescent="0.3">
      <c r="L332" s="24"/>
      <c r="M332" s="24"/>
      <c r="O332" s="24"/>
      <c r="P332" s="24"/>
      <c r="Q332" s="24"/>
    </row>
    <row r="333" spans="12:17" x14ac:dyDescent="0.3">
      <c r="L333" s="24"/>
      <c r="M333" s="24"/>
      <c r="O333" s="24"/>
      <c r="P333" s="24"/>
      <c r="Q333" s="24"/>
    </row>
    <row r="334" spans="12:17" x14ac:dyDescent="0.3">
      <c r="L334" s="24"/>
      <c r="M334" s="24"/>
      <c r="O334" s="24"/>
      <c r="P334" s="24"/>
      <c r="Q334" s="24"/>
    </row>
    <row r="335" spans="12:17" x14ac:dyDescent="0.3">
      <c r="L335" s="24"/>
      <c r="M335" s="24"/>
      <c r="O335" s="24"/>
      <c r="P335" s="24"/>
      <c r="Q335" s="24"/>
    </row>
    <row r="336" spans="12:17" x14ac:dyDescent="0.3">
      <c r="L336" s="24"/>
      <c r="M336" s="24"/>
      <c r="O336" s="24"/>
      <c r="P336" s="24"/>
      <c r="Q336" s="24"/>
    </row>
    <row r="337" spans="12:17" x14ac:dyDescent="0.3">
      <c r="L337" s="24"/>
      <c r="M337" s="24"/>
      <c r="O337" s="24"/>
      <c r="P337" s="24"/>
      <c r="Q337" s="24"/>
    </row>
    <row r="338" spans="12:17" x14ac:dyDescent="0.3">
      <c r="L338" s="24"/>
      <c r="M338" s="24"/>
      <c r="O338" s="24"/>
      <c r="P338" s="24"/>
      <c r="Q338" s="24"/>
    </row>
    <row r="339" spans="12:17" x14ac:dyDescent="0.3">
      <c r="L339" s="24"/>
      <c r="M339" s="24"/>
      <c r="O339" s="24"/>
      <c r="P339" s="24"/>
      <c r="Q339" s="24"/>
    </row>
    <row r="340" spans="12:17" x14ac:dyDescent="0.3">
      <c r="L340" s="24"/>
      <c r="M340" s="24"/>
      <c r="O340" s="24"/>
      <c r="P340" s="24"/>
      <c r="Q340" s="24"/>
    </row>
    <row r="341" spans="12:17" x14ac:dyDescent="0.3">
      <c r="L341" s="24"/>
      <c r="M341" s="24"/>
      <c r="O341" s="24"/>
      <c r="P341" s="24"/>
      <c r="Q341" s="24"/>
    </row>
    <row r="342" spans="12:17" x14ac:dyDescent="0.3">
      <c r="L342" s="24"/>
      <c r="M342" s="24"/>
      <c r="O342" s="24"/>
      <c r="P342" s="24"/>
      <c r="Q342" s="24"/>
    </row>
    <row r="343" spans="12:17" x14ac:dyDescent="0.3">
      <c r="L343" s="24"/>
      <c r="M343" s="24"/>
      <c r="O343" s="24"/>
      <c r="P343" s="24"/>
      <c r="Q343" s="24"/>
    </row>
    <row r="344" spans="12:17" x14ac:dyDescent="0.3">
      <c r="L344" s="24"/>
      <c r="M344" s="24"/>
      <c r="O344" s="24"/>
      <c r="P344" s="24"/>
      <c r="Q344" s="24"/>
    </row>
    <row r="345" spans="12:17" x14ac:dyDescent="0.3">
      <c r="L345" s="24"/>
      <c r="M345" s="24"/>
      <c r="O345" s="24"/>
      <c r="P345" s="24"/>
      <c r="Q345" s="24"/>
    </row>
    <row r="346" spans="12:17" x14ac:dyDescent="0.3">
      <c r="L346" s="24"/>
      <c r="M346" s="24"/>
      <c r="O346" s="24"/>
      <c r="P346" s="24"/>
      <c r="Q346" s="24"/>
    </row>
    <row r="347" spans="12:17" x14ac:dyDescent="0.3">
      <c r="L347" s="24"/>
      <c r="M347" s="24"/>
      <c r="O347" s="24"/>
      <c r="P347" s="24"/>
      <c r="Q347" s="24"/>
    </row>
    <row r="348" spans="12:17" x14ac:dyDescent="0.3">
      <c r="L348" s="24"/>
      <c r="M348" s="24"/>
      <c r="O348" s="24"/>
      <c r="P348" s="24"/>
      <c r="Q348" s="24"/>
    </row>
    <row r="349" spans="12:17" x14ac:dyDescent="0.3">
      <c r="L349" s="24"/>
      <c r="M349" s="24"/>
      <c r="O349" s="24"/>
      <c r="P349" s="24"/>
      <c r="Q349" s="24"/>
    </row>
    <row r="350" spans="12:17" x14ac:dyDescent="0.3">
      <c r="L350" s="24"/>
      <c r="M350" s="24"/>
      <c r="O350" s="24"/>
      <c r="P350" s="24"/>
      <c r="Q350" s="24"/>
    </row>
    <row r="351" spans="12:17" x14ac:dyDescent="0.3">
      <c r="L351" s="24"/>
      <c r="M351" s="24"/>
      <c r="O351" s="24"/>
      <c r="P351" s="24"/>
      <c r="Q351" s="24"/>
    </row>
    <row r="352" spans="12:17" x14ac:dyDescent="0.3">
      <c r="L352" s="24"/>
      <c r="M352" s="24"/>
      <c r="O352" s="24"/>
      <c r="P352" s="24"/>
      <c r="Q352" s="24"/>
    </row>
    <row r="353" spans="12:17" x14ac:dyDescent="0.3">
      <c r="L353" s="24"/>
      <c r="M353" s="24"/>
      <c r="O353" s="24"/>
      <c r="P353" s="24"/>
      <c r="Q353" s="24"/>
    </row>
    <row r="354" spans="12:17" x14ac:dyDescent="0.3">
      <c r="L354" s="24"/>
      <c r="M354" s="24"/>
      <c r="O354" s="24"/>
      <c r="P354" s="24"/>
      <c r="Q354" s="24"/>
    </row>
    <row r="355" spans="12:17" x14ac:dyDescent="0.3">
      <c r="L355" s="24"/>
      <c r="M355" s="24"/>
      <c r="O355" s="24"/>
      <c r="P355" s="24"/>
      <c r="Q355" s="24"/>
    </row>
    <row r="356" spans="12:17" x14ac:dyDescent="0.3">
      <c r="L356" s="24"/>
      <c r="M356" s="24"/>
      <c r="O356" s="24"/>
      <c r="P356" s="24"/>
      <c r="Q356" s="24"/>
    </row>
    <row r="357" spans="12:17" x14ac:dyDescent="0.3">
      <c r="L357" s="24"/>
      <c r="M357" s="24"/>
      <c r="O357" s="24"/>
      <c r="P357" s="24"/>
      <c r="Q357" s="24"/>
    </row>
    <row r="358" spans="12:17" x14ac:dyDescent="0.3">
      <c r="L358" s="24"/>
      <c r="M358" s="24"/>
      <c r="O358" s="24"/>
      <c r="P358" s="24"/>
      <c r="Q358" s="24"/>
    </row>
    <row r="359" spans="12:17" x14ac:dyDescent="0.3">
      <c r="L359" s="24"/>
      <c r="M359" s="24"/>
      <c r="O359" s="24"/>
      <c r="P359" s="24"/>
      <c r="Q359" s="24"/>
    </row>
    <row r="360" spans="12:17" x14ac:dyDescent="0.3">
      <c r="L360" s="24"/>
      <c r="M360" s="24"/>
      <c r="O360" s="24"/>
      <c r="P360" s="24"/>
      <c r="Q360" s="24"/>
    </row>
    <row r="361" spans="12:17" x14ac:dyDescent="0.3">
      <c r="L361" s="24"/>
      <c r="M361" s="24"/>
      <c r="O361" s="24"/>
      <c r="P361" s="24"/>
      <c r="Q361" s="24"/>
    </row>
    <row r="362" spans="12:17" x14ac:dyDescent="0.3">
      <c r="L362" s="24"/>
      <c r="M362" s="24"/>
      <c r="O362" s="24"/>
      <c r="P362" s="24"/>
      <c r="Q362" s="24"/>
    </row>
    <row r="363" spans="12:17" x14ac:dyDescent="0.3">
      <c r="L363" s="24"/>
      <c r="M363" s="24"/>
      <c r="O363" s="24"/>
      <c r="P363" s="24"/>
      <c r="Q363" s="24"/>
    </row>
    <row r="364" spans="12:17" x14ac:dyDescent="0.3">
      <c r="L364" s="24"/>
      <c r="M364" s="24"/>
      <c r="O364" s="24"/>
      <c r="P364" s="24"/>
      <c r="Q364" s="24"/>
    </row>
    <row r="365" spans="12:17" x14ac:dyDescent="0.3">
      <c r="L365" s="24"/>
      <c r="M365" s="24"/>
      <c r="O365" s="24"/>
      <c r="P365" s="24"/>
      <c r="Q365" s="24"/>
    </row>
    <row r="366" spans="12:17" x14ac:dyDescent="0.3">
      <c r="L366" s="24"/>
      <c r="M366" s="24"/>
      <c r="O366" s="24"/>
      <c r="P366" s="24"/>
      <c r="Q366" s="24"/>
    </row>
    <row r="367" spans="12:17" x14ac:dyDescent="0.3">
      <c r="L367" s="24"/>
      <c r="M367" s="24"/>
      <c r="O367" s="24"/>
      <c r="P367" s="24"/>
      <c r="Q367" s="24"/>
    </row>
    <row r="368" spans="12:17" x14ac:dyDescent="0.3">
      <c r="L368" s="24"/>
      <c r="M368" s="24"/>
      <c r="O368" s="24"/>
      <c r="P368" s="24"/>
      <c r="Q368" s="24"/>
    </row>
    <row r="369" spans="12:17" x14ac:dyDescent="0.3">
      <c r="L369" s="24"/>
      <c r="M369" s="24"/>
      <c r="O369" s="24"/>
      <c r="P369" s="24"/>
      <c r="Q369" s="24"/>
    </row>
    <row r="370" spans="12:17" x14ac:dyDescent="0.3">
      <c r="L370" s="24"/>
      <c r="M370" s="24"/>
      <c r="O370" s="24"/>
      <c r="P370" s="24"/>
      <c r="Q370" s="24"/>
    </row>
    <row r="371" spans="12:17" x14ac:dyDescent="0.3">
      <c r="L371" s="24"/>
      <c r="M371" s="24"/>
      <c r="O371" s="24"/>
      <c r="P371" s="24"/>
      <c r="Q371" s="24"/>
    </row>
    <row r="372" spans="12:17" x14ac:dyDescent="0.3">
      <c r="L372" s="24"/>
      <c r="M372" s="24"/>
      <c r="O372" s="24"/>
      <c r="P372" s="24"/>
      <c r="Q372" s="24"/>
    </row>
    <row r="373" spans="12:17" x14ac:dyDescent="0.3">
      <c r="L373" s="24"/>
      <c r="M373" s="24"/>
      <c r="O373" s="24"/>
      <c r="P373" s="24"/>
      <c r="Q373" s="24"/>
    </row>
    <row r="374" spans="12:17" x14ac:dyDescent="0.3">
      <c r="L374" s="24"/>
      <c r="M374" s="24"/>
      <c r="O374" s="24"/>
      <c r="P374" s="24"/>
      <c r="Q374" s="24"/>
    </row>
    <row r="375" spans="12:17" x14ac:dyDescent="0.3">
      <c r="L375" s="24"/>
      <c r="M375" s="24"/>
      <c r="O375" s="24"/>
      <c r="P375" s="24"/>
      <c r="Q375" s="24"/>
    </row>
    <row r="376" spans="12:17" x14ac:dyDescent="0.3">
      <c r="L376" s="24"/>
      <c r="M376" s="24"/>
      <c r="O376" s="24"/>
      <c r="P376" s="24"/>
      <c r="Q376" s="24"/>
    </row>
    <row r="377" spans="12:17" x14ac:dyDescent="0.3">
      <c r="L377" s="24"/>
      <c r="M377" s="24"/>
      <c r="O377" s="24"/>
      <c r="P377" s="24"/>
      <c r="Q377" s="24"/>
    </row>
    <row r="378" spans="12:17" x14ac:dyDescent="0.3">
      <c r="L378" s="24"/>
      <c r="M378" s="24"/>
      <c r="O378" s="24"/>
      <c r="P378" s="24"/>
      <c r="Q378" s="24"/>
    </row>
    <row r="379" spans="12:17" x14ac:dyDescent="0.3">
      <c r="L379" s="24"/>
      <c r="M379" s="24"/>
      <c r="O379" s="24"/>
      <c r="P379" s="24"/>
      <c r="Q379" s="24"/>
    </row>
    <row r="380" spans="12:17" x14ac:dyDescent="0.3">
      <c r="L380" s="24"/>
      <c r="M380" s="24"/>
      <c r="O380" s="24"/>
      <c r="P380" s="24"/>
      <c r="Q380" s="24"/>
    </row>
    <row r="381" spans="12:17" x14ac:dyDescent="0.3">
      <c r="L381" s="24"/>
      <c r="M381" s="24"/>
      <c r="O381" s="24"/>
      <c r="P381" s="24"/>
      <c r="Q381" s="24"/>
    </row>
    <row r="382" spans="12:17" x14ac:dyDescent="0.3">
      <c r="L382" s="24"/>
      <c r="M382" s="24"/>
      <c r="O382" s="24"/>
      <c r="P382" s="24"/>
      <c r="Q382" s="24"/>
    </row>
    <row r="383" spans="12:17" x14ac:dyDescent="0.3">
      <c r="L383" s="24"/>
      <c r="M383" s="24"/>
      <c r="O383" s="24"/>
      <c r="P383" s="24"/>
      <c r="Q383" s="24"/>
    </row>
    <row r="384" spans="12:17" x14ac:dyDescent="0.3">
      <c r="L384" s="24"/>
      <c r="M384" s="24"/>
      <c r="O384" s="24"/>
      <c r="P384" s="24"/>
      <c r="Q384" s="24"/>
    </row>
    <row r="385" spans="12:17" x14ac:dyDescent="0.3">
      <c r="L385" s="24"/>
      <c r="M385" s="24"/>
      <c r="O385" s="24"/>
      <c r="P385" s="24"/>
      <c r="Q385" s="24"/>
    </row>
    <row r="386" spans="12:17" x14ac:dyDescent="0.3">
      <c r="L386" s="24"/>
      <c r="M386" s="24"/>
      <c r="O386" s="24"/>
      <c r="P386" s="24"/>
      <c r="Q386" s="24"/>
    </row>
    <row r="387" spans="12:17" x14ac:dyDescent="0.3">
      <c r="L387" s="24"/>
      <c r="M387" s="24"/>
      <c r="O387" s="24"/>
      <c r="P387" s="24"/>
      <c r="Q387" s="24"/>
    </row>
    <row r="388" spans="12:17" x14ac:dyDescent="0.3">
      <c r="L388" s="24"/>
      <c r="M388" s="24"/>
      <c r="O388" s="24"/>
      <c r="P388" s="24"/>
      <c r="Q388" s="24"/>
    </row>
    <row r="389" spans="12:17" x14ac:dyDescent="0.3">
      <c r="L389" s="24"/>
      <c r="M389" s="24"/>
      <c r="O389" s="24"/>
      <c r="P389" s="24"/>
      <c r="Q389" s="24"/>
    </row>
    <row r="390" spans="12:17" x14ac:dyDescent="0.3">
      <c r="L390" s="24"/>
      <c r="M390" s="24"/>
      <c r="O390" s="24"/>
      <c r="P390" s="24"/>
      <c r="Q390" s="24"/>
    </row>
    <row r="391" spans="12:17" x14ac:dyDescent="0.3">
      <c r="L391" s="24"/>
      <c r="M391" s="24"/>
      <c r="O391" s="24"/>
      <c r="P391" s="24"/>
      <c r="Q391" s="24"/>
    </row>
    <row r="392" spans="12:17" x14ac:dyDescent="0.3">
      <c r="L392" s="24"/>
      <c r="M392" s="24"/>
      <c r="O392" s="24"/>
      <c r="P392" s="24"/>
      <c r="Q392" s="24"/>
    </row>
    <row r="393" spans="12:17" x14ac:dyDescent="0.3">
      <c r="L393" s="24"/>
      <c r="M393" s="24"/>
      <c r="O393" s="24"/>
      <c r="P393" s="24"/>
      <c r="Q393" s="24"/>
    </row>
    <row r="394" spans="12:17" x14ac:dyDescent="0.3">
      <c r="L394" s="24"/>
      <c r="M394" s="24"/>
      <c r="O394" s="24"/>
      <c r="P394" s="24"/>
      <c r="Q394" s="24"/>
    </row>
    <row r="395" spans="12:17" x14ac:dyDescent="0.3">
      <c r="L395" s="24"/>
      <c r="M395" s="24"/>
      <c r="O395" s="24"/>
      <c r="P395" s="24"/>
      <c r="Q395" s="24"/>
    </row>
    <row r="396" spans="12:17" x14ac:dyDescent="0.3">
      <c r="L396" s="24"/>
      <c r="M396" s="24"/>
      <c r="O396" s="24"/>
      <c r="P396" s="24"/>
      <c r="Q396" s="24"/>
    </row>
    <row r="397" spans="12:17" x14ac:dyDescent="0.3">
      <c r="L397" s="24"/>
      <c r="M397" s="24"/>
      <c r="O397" s="24"/>
      <c r="P397" s="24"/>
      <c r="Q397" s="24"/>
    </row>
    <row r="398" spans="12:17" x14ac:dyDescent="0.3">
      <c r="L398" s="24"/>
      <c r="M398" s="24"/>
      <c r="O398" s="24"/>
      <c r="P398" s="24"/>
      <c r="Q398" s="24"/>
    </row>
    <row r="399" spans="12:17" x14ac:dyDescent="0.3">
      <c r="L399" s="24"/>
      <c r="M399" s="24"/>
      <c r="O399" s="24"/>
      <c r="P399" s="24"/>
      <c r="Q399" s="24"/>
    </row>
    <row r="400" spans="12:17" x14ac:dyDescent="0.3">
      <c r="L400" s="24"/>
      <c r="M400" s="24"/>
      <c r="O400" s="24"/>
      <c r="P400" s="24"/>
      <c r="Q400" s="24"/>
    </row>
    <row r="401" spans="12:17" x14ac:dyDescent="0.3">
      <c r="L401" s="24"/>
      <c r="M401" s="24"/>
      <c r="O401" s="24"/>
      <c r="P401" s="24"/>
      <c r="Q401" s="24"/>
    </row>
    <row r="402" spans="12:17" x14ac:dyDescent="0.3">
      <c r="L402" s="24"/>
      <c r="M402" s="24"/>
      <c r="O402" s="24"/>
      <c r="P402" s="24"/>
      <c r="Q402" s="24"/>
    </row>
    <row r="403" spans="12:17" x14ac:dyDescent="0.3">
      <c r="L403" s="24"/>
      <c r="M403" s="24"/>
      <c r="O403" s="24"/>
      <c r="P403" s="24"/>
      <c r="Q403" s="24"/>
    </row>
    <row r="404" spans="12:17" x14ac:dyDescent="0.3">
      <c r="L404" s="24"/>
      <c r="M404" s="24"/>
      <c r="O404" s="24"/>
      <c r="P404" s="24"/>
      <c r="Q404" s="24"/>
    </row>
    <row r="405" spans="12:17" x14ac:dyDescent="0.3">
      <c r="L405" s="24"/>
      <c r="M405" s="24"/>
      <c r="O405" s="24"/>
      <c r="P405" s="24"/>
      <c r="Q405" s="24"/>
    </row>
    <row r="406" spans="12:17" x14ac:dyDescent="0.3">
      <c r="L406" s="24"/>
      <c r="M406" s="24"/>
      <c r="O406" s="24"/>
      <c r="P406" s="24"/>
      <c r="Q406" s="24"/>
    </row>
    <row r="407" spans="12:17" x14ac:dyDescent="0.3">
      <c r="L407" s="24"/>
      <c r="M407" s="24"/>
      <c r="O407" s="24"/>
      <c r="P407" s="24"/>
      <c r="Q407" s="24"/>
    </row>
    <row r="408" spans="12:17" x14ac:dyDescent="0.3">
      <c r="L408" s="24"/>
      <c r="M408" s="24"/>
      <c r="O408" s="24"/>
      <c r="P408" s="24"/>
      <c r="Q408" s="24"/>
    </row>
    <row r="409" spans="12:17" x14ac:dyDescent="0.3">
      <c r="L409" s="24"/>
      <c r="M409" s="24"/>
      <c r="O409" s="24"/>
      <c r="P409" s="24"/>
      <c r="Q409" s="24"/>
    </row>
    <row r="410" spans="12:17" x14ac:dyDescent="0.3">
      <c r="L410" s="24"/>
      <c r="M410" s="24"/>
      <c r="O410" s="24"/>
      <c r="P410" s="24"/>
      <c r="Q410" s="24"/>
    </row>
    <row r="411" spans="12:17" x14ac:dyDescent="0.3">
      <c r="L411" s="24"/>
      <c r="M411" s="24"/>
      <c r="O411" s="24"/>
      <c r="P411" s="24"/>
      <c r="Q411" s="24"/>
    </row>
    <row r="412" spans="12:17" x14ac:dyDescent="0.3">
      <c r="L412" s="24"/>
      <c r="M412" s="24"/>
      <c r="O412" s="24"/>
      <c r="P412" s="24"/>
      <c r="Q412" s="24"/>
    </row>
    <row r="413" spans="12:17" x14ac:dyDescent="0.3">
      <c r="L413" s="24"/>
      <c r="M413" s="24"/>
      <c r="O413" s="24"/>
      <c r="P413" s="24"/>
      <c r="Q413" s="24"/>
    </row>
    <row r="414" spans="12:17" x14ac:dyDescent="0.3">
      <c r="L414" s="24"/>
      <c r="M414" s="24"/>
      <c r="O414" s="24"/>
      <c r="P414" s="24"/>
      <c r="Q414" s="24"/>
    </row>
    <row r="415" spans="12:17" x14ac:dyDescent="0.3">
      <c r="L415" s="24"/>
      <c r="M415" s="24"/>
      <c r="O415" s="24"/>
      <c r="P415" s="24"/>
      <c r="Q415" s="24"/>
    </row>
    <row r="416" spans="12:17" x14ac:dyDescent="0.3">
      <c r="L416" s="24"/>
      <c r="M416" s="24"/>
      <c r="O416" s="24"/>
      <c r="P416" s="24"/>
      <c r="Q416" s="24"/>
    </row>
    <row r="417" spans="12:17" x14ac:dyDescent="0.3">
      <c r="L417" s="24"/>
      <c r="M417" s="24"/>
      <c r="O417" s="24"/>
      <c r="P417" s="24"/>
      <c r="Q417" s="24"/>
    </row>
    <row r="418" spans="12:17" x14ac:dyDescent="0.3">
      <c r="L418" s="24"/>
      <c r="M418" s="24"/>
      <c r="O418" s="24"/>
      <c r="P418" s="24"/>
      <c r="Q418" s="24"/>
    </row>
    <row r="419" spans="12:17" x14ac:dyDescent="0.3">
      <c r="L419" s="24"/>
      <c r="M419" s="24"/>
      <c r="O419" s="24"/>
      <c r="P419" s="24"/>
      <c r="Q419" s="24"/>
    </row>
    <row r="420" spans="12:17" x14ac:dyDescent="0.3">
      <c r="L420" s="24"/>
      <c r="M420" s="24"/>
      <c r="O420" s="24"/>
      <c r="P420" s="24"/>
      <c r="Q420" s="24"/>
    </row>
    <row r="421" spans="12:17" x14ac:dyDescent="0.3">
      <c r="L421" s="24"/>
      <c r="M421" s="24"/>
      <c r="O421" s="24"/>
      <c r="P421" s="24"/>
      <c r="Q421" s="24"/>
    </row>
    <row r="422" spans="12:17" x14ac:dyDescent="0.3">
      <c r="L422" s="24"/>
      <c r="M422" s="24"/>
      <c r="O422" s="24"/>
      <c r="P422" s="24"/>
      <c r="Q422" s="24"/>
    </row>
    <row r="423" spans="12:17" x14ac:dyDescent="0.3">
      <c r="L423" s="24"/>
      <c r="M423" s="24"/>
      <c r="O423" s="24"/>
      <c r="P423" s="24"/>
      <c r="Q423" s="24"/>
    </row>
    <row r="424" spans="12:17" x14ac:dyDescent="0.3">
      <c r="L424" s="24"/>
      <c r="M424" s="24"/>
      <c r="O424" s="24"/>
      <c r="P424" s="24"/>
      <c r="Q424" s="24"/>
    </row>
    <row r="425" spans="12:17" x14ac:dyDescent="0.3">
      <c r="L425" s="24"/>
      <c r="M425" s="24"/>
      <c r="O425" s="24"/>
      <c r="P425" s="24"/>
      <c r="Q425" s="24"/>
    </row>
    <row r="426" spans="12:17" x14ac:dyDescent="0.3">
      <c r="L426" s="24"/>
      <c r="M426" s="24"/>
      <c r="O426" s="24"/>
      <c r="P426" s="24"/>
      <c r="Q426" s="24"/>
    </row>
    <row r="427" spans="12:17" x14ac:dyDescent="0.3">
      <c r="L427" s="24"/>
      <c r="M427" s="24"/>
      <c r="O427" s="24"/>
      <c r="P427" s="24"/>
      <c r="Q427" s="24"/>
    </row>
    <row r="428" spans="12:17" x14ac:dyDescent="0.3">
      <c r="L428" s="24"/>
      <c r="M428" s="24"/>
      <c r="O428" s="24"/>
      <c r="P428" s="24"/>
      <c r="Q428" s="24"/>
    </row>
    <row r="429" spans="12:17" x14ac:dyDescent="0.3">
      <c r="L429" s="24"/>
      <c r="M429" s="24"/>
      <c r="O429" s="24"/>
      <c r="P429" s="24"/>
      <c r="Q429" s="24"/>
    </row>
    <row r="430" spans="12:17" x14ac:dyDescent="0.3">
      <c r="L430" s="24"/>
      <c r="M430" s="24"/>
      <c r="O430" s="24"/>
      <c r="P430" s="24"/>
      <c r="Q430" s="24"/>
    </row>
    <row r="431" spans="12:17" x14ac:dyDescent="0.3">
      <c r="L431" s="24"/>
      <c r="M431" s="24"/>
      <c r="O431" s="24"/>
      <c r="P431" s="24"/>
      <c r="Q431" s="24"/>
    </row>
    <row r="432" spans="12:17" x14ac:dyDescent="0.3">
      <c r="L432" s="24"/>
      <c r="M432" s="24"/>
      <c r="O432" s="24"/>
      <c r="P432" s="24"/>
      <c r="Q432" s="24"/>
    </row>
    <row r="433" spans="12:17" x14ac:dyDescent="0.3">
      <c r="L433" s="24"/>
      <c r="M433" s="24"/>
      <c r="O433" s="24"/>
      <c r="P433" s="24"/>
      <c r="Q433" s="24"/>
    </row>
    <row r="434" spans="12:17" x14ac:dyDescent="0.3">
      <c r="L434" s="24"/>
      <c r="M434" s="24"/>
      <c r="O434" s="24"/>
      <c r="P434" s="24"/>
      <c r="Q434" s="24"/>
    </row>
    <row r="435" spans="12:17" x14ac:dyDescent="0.3">
      <c r="L435" s="24"/>
      <c r="M435" s="24"/>
      <c r="O435" s="24"/>
      <c r="P435" s="24"/>
      <c r="Q435" s="24"/>
    </row>
    <row r="436" spans="12:17" x14ac:dyDescent="0.3">
      <c r="L436" s="24"/>
      <c r="M436" s="24"/>
      <c r="O436" s="24"/>
      <c r="P436" s="24"/>
      <c r="Q436" s="24"/>
    </row>
    <row r="437" spans="12:17" x14ac:dyDescent="0.3">
      <c r="L437" s="24"/>
      <c r="M437" s="24"/>
      <c r="O437" s="24"/>
      <c r="P437" s="24"/>
      <c r="Q437" s="24"/>
    </row>
    <row r="438" spans="12:17" x14ac:dyDescent="0.3">
      <c r="L438" s="24"/>
      <c r="M438" s="24"/>
      <c r="O438" s="24"/>
      <c r="P438" s="24"/>
      <c r="Q438" s="24"/>
    </row>
    <row r="439" spans="12:17" x14ac:dyDescent="0.3">
      <c r="L439" s="24"/>
      <c r="M439" s="24"/>
      <c r="O439" s="24"/>
      <c r="P439" s="24"/>
      <c r="Q439" s="24"/>
    </row>
    <row r="440" spans="12:17" x14ac:dyDescent="0.3">
      <c r="L440" s="24"/>
      <c r="M440" s="24"/>
      <c r="O440" s="24"/>
      <c r="P440" s="24"/>
      <c r="Q440" s="24"/>
    </row>
    <row r="441" spans="12:17" x14ac:dyDescent="0.3">
      <c r="L441" s="24"/>
      <c r="M441" s="24"/>
      <c r="O441" s="24"/>
      <c r="P441" s="24"/>
      <c r="Q441" s="24"/>
    </row>
    <row r="442" spans="12:17" x14ac:dyDescent="0.3">
      <c r="L442" s="24"/>
      <c r="M442" s="24"/>
      <c r="O442" s="24"/>
      <c r="P442" s="24"/>
      <c r="Q442" s="24"/>
    </row>
    <row r="443" spans="12:17" x14ac:dyDescent="0.3">
      <c r="L443" s="24"/>
      <c r="M443" s="24"/>
      <c r="O443" s="24"/>
      <c r="P443" s="24"/>
      <c r="Q443" s="24"/>
    </row>
    <row r="444" spans="12:17" x14ac:dyDescent="0.3">
      <c r="L444" s="24"/>
      <c r="M444" s="24"/>
      <c r="O444" s="24"/>
      <c r="P444" s="24"/>
      <c r="Q444" s="24"/>
    </row>
    <row r="445" spans="12:17" x14ac:dyDescent="0.3">
      <c r="L445" s="24"/>
      <c r="M445" s="24"/>
      <c r="O445" s="24"/>
      <c r="P445" s="24"/>
      <c r="Q445" s="24"/>
    </row>
    <row r="446" spans="12:17" x14ac:dyDescent="0.3">
      <c r="L446" s="24"/>
      <c r="M446" s="24"/>
      <c r="O446" s="24"/>
      <c r="P446" s="24"/>
      <c r="Q446" s="24"/>
    </row>
    <row r="447" spans="12:17" x14ac:dyDescent="0.3">
      <c r="L447" s="24"/>
      <c r="M447" s="24"/>
      <c r="O447" s="24"/>
      <c r="P447" s="24"/>
      <c r="Q447" s="24"/>
    </row>
    <row r="448" spans="12:17" x14ac:dyDescent="0.3">
      <c r="L448" s="24"/>
      <c r="M448" s="24"/>
      <c r="O448" s="24"/>
      <c r="P448" s="24"/>
      <c r="Q448" s="24"/>
    </row>
    <row r="449" spans="12:17" x14ac:dyDescent="0.3">
      <c r="L449" s="24"/>
      <c r="M449" s="24"/>
      <c r="O449" s="24"/>
      <c r="P449" s="24"/>
      <c r="Q449" s="24"/>
    </row>
    <row r="450" spans="12:17" x14ac:dyDescent="0.3">
      <c r="L450" s="24"/>
      <c r="M450" s="24"/>
      <c r="O450" s="24"/>
      <c r="P450" s="24"/>
      <c r="Q450" s="24"/>
    </row>
    <row r="451" spans="12:17" x14ac:dyDescent="0.3">
      <c r="L451" s="24"/>
      <c r="M451" s="24"/>
      <c r="O451" s="24"/>
      <c r="P451" s="24"/>
      <c r="Q451" s="24"/>
    </row>
    <row r="452" spans="12:17" x14ac:dyDescent="0.3">
      <c r="L452" s="24"/>
      <c r="M452" s="24"/>
      <c r="O452" s="24"/>
      <c r="P452" s="24"/>
      <c r="Q452" s="24"/>
    </row>
    <row r="453" spans="12:17" x14ac:dyDescent="0.3">
      <c r="L453" s="24"/>
      <c r="M453" s="24"/>
      <c r="O453" s="24"/>
      <c r="P453" s="24"/>
      <c r="Q453" s="24"/>
    </row>
    <row r="454" spans="12:17" x14ac:dyDescent="0.3">
      <c r="L454" s="24"/>
      <c r="M454" s="24"/>
      <c r="O454" s="24"/>
      <c r="P454" s="24"/>
      <c r="Q454" s="24"/>
    </row>
    <row r="455" spans="12:17" x14ac:dyDescent="0.3">
      <c r="L455" s="24"/>
      <c r="M455" s="24"/>
      <c r="O455" s="24"/>
      <c r="P455" s="24"/>
      <c r="Q455" s="24"/>
    </row>
    <row r="456" spans="12:17" x14ac:dyDescent="0.3">
      <c r="L456" s="24"/>
      <c r="M456" s="24"/>
      <c r="O456" s="24"/>
      <c r="P456" s="24"/>
      <c r="Q456" s="24"/>
    </row>
    <row r="457" spans="12:17" x14ac:dyDescent="0.3">
      <c r="L457" s="24"/>
      <c r="M457" s="24"/>
      <c r="O457" s="24"/>
      <c r="P457" s="24"/>
      <c r="Q457" s="24"/>
    </row>
    <row r="458" spans="12:17" x14ac:dyDescent="0.3">
      <c r="L458" s="24"/>
      <c r="M458" s="24"/>
      <c r="O458" s="24"/>
      <c r="P458" s="24"/>
      <c r="Q458" s="24"/>
    </row>
    <row r="459" spans="12:17" x14ac:dyDescent="0.3">
      <c r="L459" s="24"/>
      <c r="M459" s="24"/>
      <c r="O459" s="24"/>
      <c r="P459" s="24"/>
      <c r="Q459" s="24"/>
    </row>
    <row r="460" spans="12:17" x14ac:dyDescent="0.3">
      <c r="L460" s="24"/>
      <c r="M460" s="24"/>
      <c r="O460" s="24"/>
      <c r="P460" s="24"/>
      <c r="Q460" s="24"/>
    </row>
    <row r="461" spans="12:17" x14ac:dyDescent="0.3">
      <c r="L461" s="24"/>
      <c r="M461" s="24"/>
      <c r="O461" s="24"/>
      <c r="P461" s="24"/>
      <c r="Q461" s="24"/>
    </row>
    <row r="462" spans="12:17" x14ac:dyDescent="0.3">
      <c r="L462" s="24"/>
      <c r="M462" s="24"/>
      <c r="O462" s="24"/>
      <c r="P462" s="24"/>
      <c r="Q462" s="24"/>
    </row>
    <row r="463" spans="12:17" x14ac:dyDescent="0.3">
      <c r="L463" s="24"/>
      <c r="M463" s="24"/>
      <c r="O463" s="24"/>
      <c r="P463" s="24"/>
      <c r="Q463" s="24"/>
    </row>
    <row r="464" spans="12:17" x14ac:dyDescent="0.3">
      <c r="L464" s="24"/>
      <c r="M464" s="24"/>
      <c r="O464" s="24"/>
      <c r="P464" s="24"/>
      <c r="Q464" s="24"/>
    </row>
    <row r="465" spans="12:17" x14ac:dyDescent="0.3">
      <c r="L465" s="24"/>
      <c r="M465" s="24"/>
      <c r="O465" s="24"/>
      <c r="P465" s="24"/>
      <c r="Q465" s="24"/>
    </row>
    <row r="466" spans="12:17" x14ac:dyDescent="0.3">
      <c r="L466" s="24"/>
      <c r="M466" s="24"/>
      <c r="O466" s="24"/>
      <c r="P466" s="24"/>
      <c r="Q466" s="24"/>
    </row>
    <row r="467" spans="12:17" x14ac:dyDescent="0.3">
      <c r="L467" s="24"/>
      <c r="M467" s="24"/>
      <c r="O467" s="24"/>
      <c r="P467" s="24"/>
      <c r="Q467" s="24"/>
    </row>
    <row r="468" spans="12:17" x14ac:dyDescent="0.3">
      <c r="L468" s="24"/>
      <c r="M468" s="24"/>
      <c r="O468" s="24"/>
      <c r="P468" s="24"/>
      <c r="Q468" s="24"/>
    </row>
    <row r="469" spans="12:17" x14ac:dyDescent="0.3">
      <c r="L469" s="24"/>
      <c r="M469" s="24"/>
      <c r="O469" s="24"/>
      <c r="P469" s="24"/>
      <c r="Q469" s="24"/>
    </row>
    <row r="470" spans="12:17" x14ac:dyDescent="0.3">
      <c r="L470" s="24"/>
      <c r="M470" s="24"/>
      <c r="O470" s="24"/>
      <c r="P470" s="24"/>
      <c r="Q470" s="24"/>
    </row>
    <row r="471" spans="12:17" x14ac:dyDescent="0.3">
      <c r="L471" s="24"/>
      <c r="M471" s="24"/>
      <c r="O471" s="24"/>
      <c r="P471" s="24"/>
      <c r="Q471" s="24"/>
    </row>
    <row r="472" spans="12:17" x14ac:dyDescent="0.3">
      <c r="L472" s="24"/>
      <c r="M472" s="24"/>
      <c r="O472" s="24"/>
      <c r="P472" s="24"/>
      <c r="Q472" s="24"/>
    </row>
    <row r="473" spans="12:17" x14ac:dyDescent="0.3">
      <c r="L473" s="24"/>
      <c r="M473" s="24"/>
      <c r="O473" s="24"/>
      <c r="P473" s="24"/>
      <c r="Q473" s="24"/>
    </row>
    <row r="474" spans="12:17" x14ac:dyDescent="0.3">
      <c r="L474" s="24"/>
      <c r="M474" s="24"/>
      <c r="O474" s="24"/>
      <c r="P474" s="24"/>
      <c r="Q474" s="24"/>
    </row>
    <row r="475" spans="12:17" x14ac:dyDescent="0.3">
      <c r="L475" s="24"/>
      <c r="M475" s="24"/>
      <c r="O475" s="24"/>
      <c r="P475" s="24"/>
      <c r="Q475" s="24"/>
    </row>
    <row r="476" spans="12:17" x14ac:dyDescent="0.3">
      <c r="L476" s="24"/>
      <c r="M476" s="24"/>
      <c r="O476" s="24"/>
      <c r="P476" s="24"/>
      <c r="Q476" s="24"/>
    </row>
    <row r="477" spans="12:17" x14ac:dyDescent="0.3">
      <c r="L477" s="24"/>
      <c r="M477" s="24"/>
      <c r="O477" s="24"/>
      <c r="P477" s="24"/>
      <c r="Q477" s="24"/>
    </row>
    <row r="478" spans="12:17" x14ac:dyDescent="0.3">
      <c r="L478" s="24"/>
      <c r="M478" s="24"/>
      <c r="O478" s="24"/>
      <c r="P478" s="24"/>
      <c r="Q478" s="24"/>
    </row>
    <row r="479" spans="12:17" x14ac:dyDescent="0.3">
      <c r="L479" s="24"/>
      <c r="M479" s="24"/>
      <c r="O479" s="24"/>
      <c r="P479" s="24"/>
      <c r="Q479" s="24"/>
    </row>
    <row r="480" spans="12:17" x14ac:dyDescent="0.3">
      <c r="L480" s="24"/>
      <c r="M480" s="24"/>
      <c r="O480" s="24"/>
      <c r="P480" s="24"/>
      <c r="Q480" s="24"/>
    </row>
    <row r="481" spans="12:17" x14ac:dyDescent="0.3">
      <c r="L481" s="24"/>
      <c r="M481" s="24"/>
      <c r="O481" s="24"/>
      <c r="P481" s="24"/>
      <c r="Q481" s="24"/>
    </row>
    <row r="482" spans="12:17" x14ac:dyDescent="0.3">
      <c r="L482" s="24"/>
      <c r="M482" s="24"/>
      <c r="O482" s="24"/>
      <c r="P482" s="24"/>
      <c r="Q482" s="24"/>
    </row>
    <row r="483" spans="12:17" x14ac:dyDescent="0.3">
      <c r="L483" s="24"/>
      <c r="M483" s="24"/>
      <c r="O483" s="24"/>
      <c r="P483" s="24"/>
      <c r="Q483" s="24"/>
    </row>
    <row r="484" spans="12:17" x14ac:dyDescent="0.3">
      <c r="L484" s="24"/>
      <c r="M484" s="24"/>
      <c r="O484" s="24"/>
      <c r="P484" s="24"/>
      <c r="Q484" s="24"/>
    </row>
    <row r="485" spans="12:17" x14ac:dyDescent="0.3">
      <c r="L485" s="24"/>
      <c r="M485" s="24"/>
      <c r="O485" s="24"/>
      <c r="P485" s="24"/>
      <c r="Q485" s="24"/>
    </row>
    <row r="486" spans="12:17" x14ac:dyDescent="0.3">
      <c r="L486" s="24"/>
      <c r="M486" s="24"/>
      <c r="O486" s="24"/>
      <c r="P486" s="24"/>
      <c r="Q486" s="24"/>
    </row>
    <row r="487" spans="12:17" x14ac:dyDescent="0.3">
      <c r="L487" s="24"/>
      <c r="M487" s="24"/>
      <c r="O487" s="24"/>
      <c r="P487" s="24"/>
      <c r="Q487" s="24"/>
    </row>
    <row r="488" spans="12:17" x14ac:dyDescent="0.3">
      <c r="L488" s="24"/>
      <c r="M488" s="24"/>
      <c r="O488" s="24"/>
      <c r="P488" s="24"/>
      <c r="Q488" s="24"/>
    </row>
    <row r="489" spans="12:17" x14ac:dyDescent="0.3">
      <c r="L489" s="24"/>
      <c r="M489" s="24"/>
      <c r="O489" s="24"/>
      <c r="P489" s="24"/>
      <c r="Q489" s="24"/>
    </row>
    <row r="490" spans="12:17" x14ac:dyDescent="0.3">
      <c r="L490" s="24"/>
      <c r="M490" s="24"/>
      <c r="O490" s="24"/>
      <c r="P490" s="24"/>
      <c r="Q490" s="24"/>
    </row>
    <row r="491" spans="12:17" x14ac:dyDescent="0.3">
      <c r="L491" s="24"/>
      <c r="M491" s="24"/>
      <c r="O491" s="24"/>
      <c r="P491" s="24"/>
      <c r="Q491" s="24"/>
    </row>
    <row r="492" spans="12:17" x14ac:dyDescent="0.3">
      <c r="L492" s="24"/>
      <c r="M492" s="24"/>
      <c r="O492" s="24"/>
      <c r="P492" s="24"/>
      <c r="Q492" s="24"/>
    </row>
    <row r="493" spans="12:17" x14ac:dyDescent="0.3">
      <c r="L493" s="24"/>
      <c r="M493" s="24"/>
      <c r="O493" s="24"/>
      <c r="P493" s="24"/>
      <c r="Q493" s="24"/>
    </row>
    <row r="494" spans="12:17" x14ac:dyDescent="0.3">
      <c r="L494" s="24"/>
      <c r="M494" s="24"/>
      <c r="O494" s="24"/>
      <c r="P494" s="24"/>
      <c r="Q494" s="24"/>
    </row>
    <row r="495" spans="12:17" x14ac:dyDescent="0.3">
      <c r="L495" s="24"/>
      <c r="M495" s="24"/>
      <c r="O495" s="24"/>
      <c r="P495" s="24"/>
      <c r="Q495" s="24"/>
    </row>
    <row r="496" spans="12:17" x14ac:dyDescent="0.3">
      <c r="L496" s="24"/>
      <c r="M496" s="24"/>
      <c r="O496" s="24"/>
      <c r="P496" s="24"/>
      <c r="Q496" s="24"/>
    </row>
    <row r="497" spans="12:17" x14ac:dyDescent="0.3">
      <c r="L497" s="24"/>
      <c r="M497" s="24"/>
      <c r="O497" s="24"/>
      <c r="P497" s="24"/>
      <c r="Q497" s="24"/>
    </row>
    <row r="498" spans="12:17" x14ac:dyDescent="0.3">
      <c r="L498" s="24"/>
      <c r="M498" s="24"/>
      <c r="O498" s="24"/>
      <c r="P498" s="24"/>
      <c r="Q498" s="24"/>
    </row>
    <row r="499" spans="12:17" x14ac:dyDescent="0.3">
      <c r="L499" s="24"/>
      <c r="M499" s="24"/>
      <c r="O499" s="24"/>
      <c r="P499" s="24"/>
      <c r="Q499" s="24"/>
    </row>
    <row r="500" spans="12:17" x14ac:dyDescent="0.3">
      <c r="L500" s="24"/>
      <c r="M500" s="24"/>
      <c r="O500" s="24"/>
      <c r="P500" s="24"/>
      <c r="Q500" s="24"/>
    </row>
    <row r="501" spans="12:17" x14ac:dyDescent="0.3">
      <c r="L501" s="24"/>
      <c r="M501" s="24"/>
      <c r="O501" s="24"/>
      <c r="P501" s="24"/>
      <c r="Q501" s="24"/>
    </row>
    <row r="502" spans="12:17" x14ac:dyDescent="0.3">
      <c r="L502" s="24"/>
      <c r="M502" s="24"/>
      <c r="O502" s="24"/>
      <c r="P502" s="24"/>
      <c r="Q502" s="24"/>
    </row>
    <row r="503" spans="12:17" x14ac:dyDescent="0.3">
      <c r="L503" s="24"/>
      <c r="M503" s="24"/>
      <c r="O503" s="24"/>
      <c r="P503" s="24"/>
      <c r="Q503" s="24"/>
    </row>
    <row r="504" spans="12:17" x14ac:dyDescent="0.3">
      <c r="L504" s="24"/>
      <c r="M504" s="24"/>
      <c r="O504" s="24"/>
      <c r="P504" s="24"/>
      <c r="Q504" s="24"/>
    </row>
    <row r="505" spans="12:17" x14ac:dyDescent="0.3">
      <c r="L505" s="24"/>
      <c r="M505" s="24"/>
      <c r="O505" s="24"/>
      <c r="P505" s="24"/>
      <c r="Q505" s="24"/>
    </row>
    <row r="506" spans="12:17" x14ac:dyDescent="0.3">
      <c r="L506" s="24"/>
      <c r="M506" s="24"/>
      <c r="O506" s="24"/>
      <c r="P506" s="24"/>
      <c r="Q506" s="24"/>
    </row>
    <row r="507" spans="12:17" x14ac:dyDescent="0.3">
      <c r="L507" s="24"/>
      <c r="M507" s="24"/>
      <c r="O507" s="24"/>
      <c r="P507" s="24"/>
      <c r="Q507" s="24"/>
    </row>
    <row r="508" spans="12:17" x14ac:dyDescent="0.3">
      <c r="L508" s="24"/>
      <c r="M508" s="24"/>
      <c r="O508" s="24"/>
      <c r="P508" s="24"/>
      <c r="Q508" s="24"/>
    </row>
    <row r="509" spans="12:17" x14ac:dyDescent="0.3">
      <c r="L509" s="24"/>
      <c r="M509" s="24"/>
      <c r="O509" s="24"/>
      <c r="P509" s="24"/>
      <c r="Q509" s="24"/>
    </row>
    <row r="510" spans="12:17" x14ac:dyDescent="0.3">
      <c r="L510" s="24"/>
      <c r="M510" s="24"/>
      <c r="O510" s="24"/>
      <c r="P510" s="24"/>
      <c r="Q510" s="24"/>
    </row>
    <row r="511" spans="12:17" x14ac:dyDescent="0.3">
      <c r="L511" s="24"/>
      <c r="M511" s="24"/>
      <c r="O511" s="24"/>
      <c r="P511" s="24"/>
      <c r="Q511" s="24"/>
    </row>
    <row r="512" spans="12:17" x14ac:dyDescent="0.3">
      <c r="L512" s="24"/>
      <c r="M512" s="24"/>
      <c r="O512" s="24"/>
      <c r="P512" s="24"/>
      <c r="Q512" s="24"/>
    </row>
    <row r="513" spans="12:17" x14ac:dyDescent="0.3">
      <c r="L513" s="24"/>
      <c r="M513" s="24"/>
      <c r="O513" s="24"/>
      <c r="P513" s="24"/>
      <c r="Q513" s="24"/>
    </row>
    <row r="514" spans="12:17" x14ac:dyDescent="0.3">
      <c r="L514" s="24"/>
      <c r="M514" s="24"/>
      <c r="O514" s="24"/>
      <c r="P514" s="24"/>
      <c r="Q514" s="24"/>
    </row>
    <row r="515" spans="12:17" x14ac:dyDescent="0.3">
      <c r="L515" s="24"/>
      <c r="M515" s="24"/>
      <c r="O515" s="24"/>
      <c r="P515" s="24"/>
      <c r="Q515" s="24"/>
    </row>
    <row r="516" spans="12:17" x14ac:dyDescent="0.3">
      <c r="L516" s="24"/>
      <c r="M516" s="24"/>
      <c r="O516" s="24"/>
      <c r="P516" s="24"/>
      <c r="Q516" s="24"/>
    </row>
    <row r="517" spans="12:17" x14ac:dyDescent="0.3">
      <c r="L517" s="24"/>
      <c r="M517" s="24"/>
      <c r="O517" s="24"/>
      <c r="P517" s="24"/>
      <c r="Q517" s="24"/>
    </row>
    <row r="518" spans="12:17" x14ac:dyDescent="0.3">
      <c r="L518" s="24"/>
      <c r="M518" s="24"/>
      <c r="O518" s="24"/>
      <c r="P518" s="24"/>
      <c r="Q518" s="24"/>
    </row>
    <row r="519" spans="12:17" x14ac:dyDescent="0.3">
      <c r="L519" s="24"/>
      <c r="M519" s="24"/>
      <c r="O519" s="24"/>
      <c r="P519" s="24"/>
      <c r="Q519" s="24"/>
    </row>
    <row r="520" spans="12:17" x14ac:dyDescent="0.3">
      <c r="L520" s="24"/>
      <c r="M520" s="24"/>
      <c r="O520" s="24"/>
      <c r="P520" s="24"/>
      <c r="Q520" s="24"/>
    </row>
    <row r="521" spans="12:17" x14ac:dyDescent="0.3">
      <c r="L521" s="24"/>
      <c r="M521" s="24"/>
      <c r="O521" s="24"/>
      <c r="P521" s="24"/>
      <c r="Q521" s="24"/>
    </row>
    <row r="522" spans="12:17" x14ac:dyDescent="0.3">
      <c r="L522" s="24"/>
      <c r="M522" s="24"/>
      <c r="O522" s="24"/>
      <c r="P522" s="24"/>
      <c r="Q522" s="24"/>
    </row>
    <row r="523" spans="12:17" x14ac:dyDescent="0.3">
      <c r="L523" s="24"/>
      <c r="M523" s="24"/>
      <c r="O523" s="24"/>
      <c r="P523" s="24"/>
      <c r="Q523" s="24"/>
    </row>
    <row r="524" spans="12:17" x14ac:dyDescent="0.3">
      <c r="L524" s="24"/>
      <c r="M524" s="24"/>
      <c r="O524" s="24"/>
      <c r="P524" s="24"/>
      <c r="Q524" s="24"/>
    </row>
    <row r="525" spans="12:17" x14ac:dyDescent="0.3">
      <c r="L525" s="24"/>
      <c r="M525" s="24"/>
      <c r="O525" s="24"/>
      <c r="P525" s="24"/>
      <c r="Q525" s="24"/>
    </row>
    <row r="526" spans="12:17" x14ac:dyDescent="0.3">
      <c r="L526" s="24"/>
      <c r="M526" s="24"/>
      <c r="O526" s="24"/>
      <c r="P526" s="24"/>
      <c r="Q526" s="24"/>
    </row>
    <row r="527" spans="12:17" x14ac:dyDescent="0.3">
      <c r="L527" s="24"/>
      <c r="M527" s="24"/>
      <c r="O527" s="24"/>
      <c r="P527" s="24"/>
      <c r="Q527" s="24"/>
    </row>
    <row r="528" spans="12:17" x14ac:dyDescent="0.3">
      <c r="L528" s="24"/>
      <c r="M528" s="24"/>
      <c r="O528" s="24"/>
      <c r="P528" s="24"/>
      <c r="Q528" s="24"/>
    </row>
    <row r="529" spans="12:17" x14ac:dyDescent="0.3">
      <c r="L529" s="24"/>
      <c r="M529" s="24"/>
      <c r="O529" s="24"/>
      <c r="P529" s="24"/>
      <c r="Q529" s="24"/>
    </row>
    <row r="530" spans="12:17" x14ac:dyDescent="0.3">
      <c r="L530" s="24"/>
      <c r="M530" s="24"/>
      <c r="O530" s="24"/>
      <c r="P530" s="24"/>
      <c r="Q530" s="24"/>
    </row>
    <row r="531" spans="12:17" x14ac:dyDescent="0.3">
      <c r="L531" s="24"/>
      <c r="M531" s="24"/>
      <c r="O531" s="24"/>
      <c r="P531" s="24"/>
      <c r="Q531" s="24"/>
    </row>
    <row r="532" spans="12:17" x14ac:dyDescent="0.3">
      <c r="L532" s="24"/>
      <c r="M532" s="24"/>
      <c r="O532" s="24"/>
      <c r="P532" s="24"/>
      <c r="Q532" s="24"/>
    </row>
    <row r="533" spans="12:17" x14ac:dyDescent="0.3">
      <c r="L533" s="24"/>
      <c r="M533" s="24"/>
      <c r="O533" s="24"/>
      <c r="P533" s="24"/>
      <c r="Q533" s="24"/>
    </row>
    <row r="534" spans="12:17" x14ac:dyDescent="0.3">
      <c r="L534" s="24"/>
      <c r="M534" s="24"/>
      <c r="O534" s="24"/>
      <c r="P534" s="24"/>
      <c r="Q534" s="24"/>
    </row>
    <row r="535" spans="12:17" x14ac:dyDescent="0.3">
      <c r="L535" s="24"/>
      <c r="M535" s="24"/>
      <c r="O535" s="24"/>
      <c r="P535" s="24"/>
      <c r="Q535" s="24"/>
    </row>
    <row r="536" spans="12:17" x14ac:dyDescent="0.3">
      <c r="L536" s="24"/>
      <c r="M536" s="24"/>
      <c r="O536" s="24"/>
      <c r="P536" s="24"/>
      <c r="Q536" s="24"/>
    </row>
    <row r="537" spans="12:17" x14ac:dyDescent="0.3">
      <c r="L537" s="24"/>
      <c r="M537" s="24"/>
      <c r="O537" s="24"/>
      <c r="P537" s="24"/>
      <c r="Q537" s="24"/>
    </row>
    <row r="538" spans="12:17" x14ac:dyDescent="0.3">
      <c r="L538" s="24"/>
      <c r="M538" s="24"/>
      <c r="O538" s="24"/>
      <c r="P538" s="24"/>
      <c r="Q538" s="24"/>
    </row>
    <row r="539" spans="12:17" x14ac:dyDescent="0.3">
      <c r="L539" s="24"/>
      <c r="M539" s="24"/>
      <c r="O539" s="24"/>
      <c r="P539" s="24"/>
      <c r="Q539" s="24"/>
    </row>
    <row r="540" spans="12:17" x14ac:dyDescent="0.3">
      <c r="L540" s="24"/>
      <c r="M540" s="24"/>
      <c r="O540" s="24"/>
      <c r="P540" s="24"/>
      <c r="Q540" s="24"/>
    </row>
    <row r="541" spans="12:17" x14ac:dyDescent="0.3">
      <c r="L541" s="24"/>
      <c r="M541" s="24"/>
      <c r="O541" s="24"/>
      <c r="P541" s="24"/>
      <c r="Q541" s="24"/>
    </row>
    <row r="542" spans="12:17" x14ac:dyDescent="0.3">
      <c r="L542" s="24"/>
      <c r="M542" s="24"/>
      <c r="O542" s="24"/>
      <c r="P542" s="24"/>
      <c r="Q542" s="24"/>
    </row>
    <row r="543" spans="12:17" x14ac:dyDescent="0.3">
      <c r="L543" s="24"/>
      <c r="M543" s="24"/>
      <c r="O543" s="24"/>
      <c r="P543" s="24"/>
      <c r="Q543" s="24"/>
    </row>
    <row r="544" spans="12:17" x14ac:dyDescent="0.3">
      <c r="L544" s="24"/>
      <c r="M544" s="24"/>
      <c r="O544" s="24"/>
      <c r="P544" s="24"/>
      <c r="Q544" s="24"/>
    </row>
    <row r="545" spans="12:17" x14ac:dyDescent="0.3">
      <c r="L545" s="24"/>
      <c r="M545" s="24"/>
      <c r="O545" s="24"/>
      <c r="P545" s="24"/>
      <c r="Q545" s="24"/>
    </row>
    <row r="546" spans="12:17" x14ac:dyDescent="0.3">
      <c r="L546" s="24"/>
      <c r="M546" s="24"/>
      <c r="O546" s="24"/>
      <c r="P546" s="24"/>
      <c r="Q546" s="24"/>
    </row>
    <row r="547" spans="12:17" x14ac:dyDescent="0.3">
      <c r="L547" s="24"/>
      <c r="M547" s="24"/>
      <c r="O547" s="24"/>
      <c r="P547" s="24"/>
      <c r="Q547" s="24"/>
    </row>
    <row r="548" spans="12:17" x14ac:dyDescent="0.3">
      <c r="L548" s="24"/>
      <c r="M548" s="24"/>
      <c r="O548" s="24"/>
      <c r="P548" s="24"/>
      <c r="Q548" s="24"/>
    </row>
    <row r="549" spans="12:17" x14ac:dyDescent="0.3">
      <c r="L549" s="24"/>
      <c r="M549" s="24"/>
      <c r="O549" s="24"/>
      <c r="P549" s="24"/>
      <c r="Q549" s="24"/>
    </row>
    <row r="550" spans="12:17" x14ac:dyDescent="0.3">
      <c r="L550" s="24"/>
      <c r="M550" s="24"/>
      <c r="O550" s="24"/>
      <c r="P550" s="24"/>
      <c r="Q550" s="24"/>
    </row>
    <row r="551" spans="12:17" x14ac:dyDescent="0.3">
      <c r="L551" s="24"/>
      <c r="M551" s="24"/>
      <c r="O551" s="24"/>
      <c r="P551" s="24"/>
      <c r="Q551" s="24"/>
    </row>
    <row r="552" spans="12:17" x14ac:dyDescent="0.3">
      <c r="L552" s="24"/>
      <c r="M552" s="24"/>
      <c r="O552" s="24"/>
      <c r="P552" s="24"/>
      <c r="Q552" s="24"/>
    </row>
    <row r="553" spans="12:17" x14ac:dyDescent="0.3">
      <c r="L553" s="24"/>
      <c r="M553" s="24"/>
      <c r="O553" s="24"/>
      <c r="P553" s="24"/>
      <c r="Q553" s="24"/>
    </row>
    <row r="554" spans="12:17" x14ac:dyDescent="0.3">
      <c r="L554" s="24"/>
      <c r="M554" s="24"/>
      <c r="O554" s="24"/>
      <c r="P554" s="24"/>
      <c r="Q554" s="24"/>
    </row>
    <row r="555" spans="12:17" x14ac:dyDescent="0.3">
      <c r="L555" s="24"/>
      <c r="M555" s="24"/>
      <c r="O555" s="24"/>
      <c r="P555" s="24"/>
      <c r="Q555" s="24"/>
    </row>
    <row r="556" spans="12:17" x14ac:dyDescent="0.3">
      <c r="L556" s="24"/>
      <c r="M556" s="24"/>
      <c r="O556" s="24"/>
      <c r="P556" s="24"/>
      <c r="Q556" s="24"/>
    </row>
    <row r="557" spans="12:17" x14ac:dyDescent="0.3">
      <c r="L557" s="24"/>
      <c r="M557" s="24"/>
      <c r="O557" s="24"/>
      <c r="P557" s="24"/>
      <c r="Q557" s="24"/>
    </row>
    <row r="558" spans="12:17" x14ac:dyDescent="0.3">
      <c r="L558" s="24"/>
      <c r="M558" s="24"/>
      <c r="O558" s="24"/>
      <c r="P558" s="24"/>
      <c r="Q558" s="24"/>
    </row>
    <row r="559" spans="12:17" x14ac:dyDescent="0.3">
      <c r="L559" s="24"/>
      <c r="M559" s="24"/>
      <c r="O559" s="24"/>
      <c r="P559" s="24"/>
      <c r="Q559" s="24"/>
    </row>
    <row r="560" spans="12:17" x14ac:dyDescent="0.3">
      <c r="L560" s="24"/>
      <c r="M560" s="24"/>
      <c r="O560" s="24"/>
      <c r="P560" s="24"/>
      <c r="Q560" s="24"/>
    </row>
    <row r="561" spans="12:17" x14ac:dyDescent="0.3">
      <c r="L561" s="24"/>
      <c r="M561" s="24"/>
      <c r="O561" s="24"/>
      <c r="P561" s="24"/>
      <c r="Q561" s="24"/>
    </row>
    <row r="562" spans="12:17" x14ac:dyDescent="0.3">
      <c r="L562" s="24"/>
      <c r="M562" s="24"/>
      <c r="O562" s="24"/>
      <c r="P562" s="24"/>
      <c r="Q562" s="24"/>
    </row>
    <row r="563" spans="12:17" x14ac:dyDescent="0.3">
      <c r="L563" s="24"/>
      <c r="M563" s="24"/>
      <c r="O563" s="24"/>
      <c r="P563" s="24"/>
      <c r="Q563" s="24"/>
    </row>
    <row r="564" spans="12:17" x14ac:dyDescent="0.3">
      <c r="L564" s="24"/>
      <c r="M564" s="24"/>
      <c r="O564" s="24"/>
      <c r="P564" s="24"/>
      <c r="Q564" s="24"/>
    </row>
    <row r="565" spans="12:17" x14ac:dyDescent="0.3">
      <c r="L565" s="24"/>
      <c r="M565" s="24"/>
      <c r="O565" s="24"/>
      <c r="P565" s="24"/>
      <c r="Q565" s="24"/>
    </row>
    <row r="566" spans="12:17" x14ac:dyDescent="0.3">
      <c r="L566" s="24"/>
      <c r="M566" s="24"/>
      <c r="O566" s="24"/>
      <c r="P566" s="24"/>
      <c r="Q566" s="24"/>
    </row>
    <row r="567" spans="12:17" x14ac:dyDescent="0.3">
      <c r="L567" s="24"/>
      <c r="M567" s="24"/>
      <c r="O567" s="24"/>
      <c r="P567" s="24"/>
      <c r="Q567" s="24"/>
    </row>
    <row r="568" spans="12:17" x14ac:dyDescent="0.3">
      <c r="L568" s="24"/>
      <c r="M568" s="24"/>
      <c r="O568" s="24"/>
      <c r="P568" s="24"/>
      <c r="Q568" s="24"/>
    </row>
    <row r="569" spans="12:17" x14ac:dyDescent="0.3">
      <c r="L569" s="24"/>
      <c r="M569" s="24"/>
      <c r="O569" s="24"/>
      <c r="P569" s="24"/>
      <c r="Q569" s="24"/>
    </row>
    <row r="570" spans="12:17" x14ac:dyDescent="0.3">
      <c r="L570" s="24"/>
      <c r="M570" s="24"/>
      <c r="O570" s="24"/>
      <c r="P570" s="24"/>
      <c r="Q570" s="24"/>
    </row>
    <row r="571" spans="12:17" x14ac:dyDescent="0.3">
      <c r="L571" s="24"/>
      <c r="M571" s="24"/>
      <c r="O571" s="24"/>
      <c r="P571" s="24"/>
      <c r="Q571" s="24"/>
    </row>
    <row r="572" spans="12:17" x14ac:dyDescent="0.3">
      <c r="L572" s="24"/>
      <c r="M572" s="24"/>
      <c r="O572" s="24"/>
      <c r="P572" s="24"/>
      <c r="Q572" s="24"/>
    </row>
    <row r="573" spans="12:17" x14ac:dyDescent="0.3">
      <c r="L573" s="24"/>
      <c r="M573" s="24"/>
      <c r="O573" s="24"/>
      <c r="P573" s="24"/>
      <c r="Q573" s="24"/>
    </row>
    <row r="574" spans="12:17" x14ac:dyDescent="0.3">
      <c r="L574" s="24"/>
      <c r="M574" s="24"/>
      <c r="O574" s="24"/>
      <c r="P574" s="24"/>
      <c r="Q574" s="24"/>
    </row>
    <row r="575" spans="12:17" x14ac:dyDescent="0.3">
      <c r="L575" s="24"/>
      <c r="M575" s="24"/>
      <c r="O575" s="24"/>
      <c r="P575" s="24"/>
      <c r="Q575" s="24"/>
    </row>
    <row r="576" spans="12:17" x14ac:dyDescent="0.3">
      <c r="L576" s="24"/>
      <c r="M576" s="24"/>
      <c r="O576" s="24"/>
      <c r="P576" s="24"/>
      <c r="Q576" s="24"/>
    </row>
    <row r="577" spans="12:17" x14ac:dyDescent="0.3">
      <c r="L577" s="24"/>
      <c r="M577" s="24"/>
      <c r="O577" s="24"/>
      <c r="P577" s="24"/>
      <c r="Q577" s="24"/>
    </row>
    <row r="578" spans="12:17" x14ac:dyDescent="0.3">
      <c r="L578" s="24"/>
      <c r="M578" s="24"/>
      <c r="O578" s="24"/>
      <c r="P578" s="24"/>
      <c r="Q578" s="24"/>
    </row>
    <row r="579" spans="12:17" x14ac:dyDescent="0.3">
      <c r="L579" s="24"/>
      <c r="M579" s="24"/>
      <c r="O579" s="24"/>
      <c r="P579" s="24"/>
      <c r="Q579" s="24"/>
    </row>
    <row r="580" spans="12:17" x14ac:dyDescent="0.3">
      <c r="L580" s="24"/>
      <c r="M580" s="24"/>
      <c r="O580" s="24"/>
      <c r="P580" s="24"/>
      <c r="Q580" s="24"/>
    </row>
    <row r="581" spans="12:17" x14ac:dyDescent="0.3">
      <c r="L581" s="24"/>
      <c r="M581" s="24"/>
      <c r="O581" s="24"/>
      <c r="P581" s="24"/>
      <c r="Q581" s="24"/>
    </row>
    <row r="582" spans="12:17" x14ac:dyDescent="0.3">
      <c r="L582" s="24"/>
      <c r="M582" s="24"/>
      <c r="O582" s="24"/>
      <c r="P582" s="24"/>
      <c r="Q582" s="24"/>
    </row>
    <row r="583" spans="12:17" x14ac:dyDescent="0.3">
      <c r="L583" s="24"/>
      <c r="M583" s="24"/>
      <c r="O583" s="24"/>
      <c r="P583" s="24"/>
      <c r="Q583" s="24"/>
    </row>
    <row r="584" spans="12:17" x14ac:dyDescent="0.3">
      <c r="L584" s="24"/>
      <c r="M584" s="24"/>
      <c r="O584" s="24"/>
      <c r="P584" s="24"/>
      <c r="Q584" s="24"/>
    </row>
    <row r="585" spans="12:17" x14ac:dyDescent="0.3">
      <c r="L585" s="24"/>
      <c r="M585" s="24"/>
      <c r="O585" s="24"/>
      <c r="P585" s="24"/>
      <c r="Q585" s="24"/>
    </row>
    <row r="586" spans="12:17" x14ac:dyDescent="0.3">
      <c r="L586" s="24"/>
      <c r="M586" s="24"/>
      <c r="O586" s="24"/>
      <c r="P586" s="24"/>
      <c r="Q586" s="24"/>
    </row>
    <row r="587" spans="12:17" x14ac:dyDescent="0.3">
      <c r="L587" s="24"/>
      <c r="M587" s="24"/>
      <c r="O587" s="24"/>
      <c r="P587" s="24"/>
      <c r="Q587" s="24"/>
    </row>
    <row r="588" spans="12:17" x14ac:dyDescent="0.3">
      <c r="L588" s="24"/>
      <c r="M588" s="24"/>
      <c r="O588" s="24"/>
      <c r="P588" s="24"/>
      <c r="Q588" s="24"/>
    </row>
    <row r="589" spans="12:17" x14ac:dyDescent="0.3">
      <c r="L589" s="24"/>
      <c r="M589" s="24"/>
      <c r="O589" s="24"/>
      <c r="P589" s="24"/>
      <c r="Q589" s="24"/>
    </row>
    <row r="590" spans="12:17" x14ac:dyDescent="0.3">
      <c r="L590" s="24"/>
      <c r="M590" s="24"/>
      <c r="O590" s="24"/>
      <c r="P590" s="24"/>
      <c r="Q590" s="24"/>
    </row>
    <row r="591" spans="12:17" x14ac:dyDescent="0.3">
      <c r="L591" s="24"/>
      <c r="M591" s="24"/>
      <c r="O591" s="24"/>
      <c r="P591" s="24"/>
      <c r="Q591" s="24"/>
    </row>
    <row r="592" spans="12:17" x14ac:dyDescent="0.3">
      <c r="L592" s="24"/>
      <c r="M592" s="24"/>
      <c r="O592" s="24"/>
      <c r="P592" s="24"/>
      <c r="Q592" s="24"/>
    </row>
    <row r="593" spans="12:17" x14ac:dyDescent="0.3">
      <c r="L593" s="24"/>
      <c r="M593" s="24"/>
      <c r="O593" s="24"/>
      <c r="P593" s="24"/>
      <c r="Q593" s="24"/>
    </row>
    <row r="594" spans="12:17" x14ac:dyDescent="0.3">
      <c r="L594" s="24"/>
      <c r="M594" s="24"/>
      <c r="O594" s="24"/>
      <c r="P594" s="24"/>
      <c r="Q594" s="24"/>
    </row>
    <row r="595" spans="12:17" x14ac:dyDescent="0.3">
      <c r="L595" s="24"/>
      <c r="M595" s="24"/>
      <c r="O595" s="24"/>
      <c r="P595" s="24"/>
      <c r="Q595" s="24"/>
    </row>
    <row r="596" spans="12:17" x14ac:dyDescent="0.3">
      <c r="L596" s="24"/>
      <c r="M596" s="24"/>
      <c r="O596" s="24"/>
      <c r="P596" s="24"/>
      <c r="Q596" s="24"/>
    </row>
    <row r="597" spans="12:17" x14ac:dyDescent="0.3">
      <c r="L597" s="24"/>
      <c r="M597" s="24"/>
      <c r="O597" s="24"/>
      <c r="P597" s="24"/>
      <c r="Q597" s="24"/>
    </row>
    <row r="598" spans="12:17" x14ac:dyDescent="0.3">
      <c r="L598" s="24"/>
      <c r="M598" s="24"/>
      <c r="O598" s="24"/>
      <c r="P598" s="24"/>
      <c r="Q598" s="24"/>
    </row>
    <row r="599" spans="12:17" x14ac:dyDescent="0.3">
      <c r="L599" s="24"/>
      <c r="M599" s="24"/>
      <c r="O599" s="24"/>
      <c r="P599" s="24"/>
      <c r="Q599" s="24"/>
    </row>
    <row r="600" spans="12:17" x14ac:dyDescent="0.3">
      <c r="L600" s="24"/>
      <c r="M600" s="24"/>
      <c r="O600" s="24"/>
      <c r="P600" s="24"/>
      <c r="Q600" s="24"/>
    </row>
    <row r="601" spans="12:17" x14ac:dyDescent="0.3">
      <c r="L601" s="24"/>
      <c r="M601" s="24"/>
      <c r="O601" s="24"/>
      <c r="P601" s="24"/>
      <c r="Q601" s="24"/>
    </row>
    <row r="602" spans="12:17" x14ac:dyDescent="0.3">
      <c r="L602" s="24"/>
      <c r="M602" s="24"/>
      <c r="O602" s="24"/>
      <c r="P602" s="24"/>
      <c r="Q602" s="24"/>
    </row>
    <row r="603" spans="12:17" x14ac:dyDescent="0.3">
      <c r="L603" s="24"/>
      <c r="M603" s="24"/>
      <c r="O603" s="24"/>
      <c r="P603" s="24"/>
      <c r="Q603" s="24"/>
    </row>
    <row r="604" spans="12:17" x14ac:dyDescent="0.3">
      <c r="L604" s="24"/>
      <c r="M604" s="24"/>
      <c r="O604" s="24"/>
      <c r="P604" s="24"/>
      <c r="Q604" s="24"/>
    </row>
    <row r="605" spans="12:17" x14ac:dyDescent="0.3">
      <c r="L605" s="24"/>
      <c r="M605" s="24"/>
      <c r="O605" s="24"/>
      <c r="P605" s="24"/>
      <c r="Q605" s="24"/>
    </row>
    <row r="606" spans="12:17" x14ac:dyDescent="0.3">
      <c r="L606" s="24"/>
      <c r="M606" s="24"/>
      <c r="O606" s="24"/>
      <c r="P606" s="24"/>
      <c r="Q606" s="24"/>
    </row>
    <row r="607" spans="12:17" x14ac:dyDescent="0.3">
      <c r="L607" s="24"/>
      <c r="M607" s="24"/>
      <c r="O607" s="24"/>
      <c r="P607" s="24"/>
      <c r="Q607" s="24"/>
    </row>
    <row r="608" spans="12:17" x14ac:dyDescent="0.3">
      <c r="L608" s="24"/>
      <c r="M608" s="24"/>
      <c r="O608" s="24"/>
      <c r="P608" s="24"/>
      <c r="Q608" s="24"/>
    </row>
    <row r="609" spans="12:17" x14ac:dyDescent="0.3">
      <c r="L609" s="24"/>
      <c r="M609" s="24"/>
      <c r="O609" s="24"/>
      <c r="P609" s="24"/>
      <c r="Q609" s="24"/>
    </row>
    <row r="610" spans="12:17" x14ac:dyDescent="0.3">
      <c r="L610" s="24"/>
      <c r="M610" s="24"/>
      <c r="O610" s="24"/>
      <c r="P610" s="24"/>
      <c r="Q610" s="24"/>
    </row>
    <row r="611" spans="12:17" x14ac:dyDescent="0.3">
      <c r="L611" s="24"/>
      <c r="M611" s="24"/>
      <c r="O611" s="24"/>
      <c r="P611" s="24"/>
      <c r="Q611" s="24"/>
    </row>
    <row r="612" spans="12:17" x14ac:dyDescent="0.3">
      <c r="L612" s="24"/>
      <c r="M612" s="24"/>
      <c r="O612" s="24"/>
      <c r="P612" s="24"/>
      <c r="Q612" s="24"/>
    </row>
    <row r="613" spans="12:17" x14ac:dyDescent="0.3">
      <c r="L613" s="24"/>
      <c r="M613" s="24"/>
      <c r="O613" s="24"/>
      <c r="P613" s="24"/>
      <c r="Q613" s="24"/>
    </row>
    <row r="614" spans="12:17" x14ac:dyDescent="0.3">
      <c r="L614" s="24"/>
      <c r="M614" s="24"/>
      <c r="O614" s="24"/>
      <c r="P614" s="24"/>
      <c r="Q614" s="24"/>
    </row>
    <row r="615" spans="12:17" x14ac:dyDescent="0.3">
      <c r="L615" s="24"/>
      <c r="M615" s="24"/>
      <c r="O615" s="24"/>
      <c r="P615" s="24"/>
      <c r="Q615" s="24"/>
    </row>
    <row r="616" spans="12:17" x14ac:dyDescent="0.3">
      <c r="L616" s="24"/>
      <c r="M616" s="24"/>
      <c r="O616" s="24"/>
      <c r="P616" s="24"/>
      <c r="Q616" s="24"/>
    </row>
    <row r="617" spans="12:17" x14ac:dyDescent="0.3">
      <c r="L617" s="24"/>
      <c r="M617" s="24"/>
      <c r="O617" s="24"/>
      <c r="P617" s="24"/>
      <c r="Q617" s="24"/>
    </row>
    <row r="618" spans="12:17" x14ac:dyDescent="0.3">
      <c r="L618" s="24"/>
      <c r="M618" s="24"/>
      <c r="O618" s="24"/>
      <c r="P618" s="24"/>
      <c r="Q618" s="24"/>
    </row>
    <row r="619" spans="12:17" x14ac:dyDescent="0.3">
      <c r="L619" s="24"/>
      <c r="M619" s="24"/>
      <c r="O619" s="24"/>
      <c r="P619" s="24"/>
      <c r="Q619" s="24"/>
    </row>
    <row r="620" spans="12:17" x14ac:dyDescent="0.3">
      <c r="L620" s="24"/>
      <c r="M620" s="24"/>
      <c r="O620" s="24"/>
      <c r="P620" s="24"/>
      <c r="Q620" s="24"/>
    </row>
    <row r="621" spans="12:17" x14ac:dyDescent="0.3">
      <c r="L621" s="24"/>
      <c r="M621" s="24"/>
      <c r="O621" s="24"/>
      <c r="P621" s="24"/>
      <c r="Q621" s="24"/>
    </row>
    <row r="622" spans="12:17" x14ac:dyDescent="0.3">
      <c r="L622" s="24"/>
      <c r="M622" s="24"/>
      <c r="O622" s="24"/>
      <c r="P622" s="24"/>
      <c r="Q622" s="24"/>
    </row>
    <row r="623" spans="12:17" x14ac:dyDescent="0.3">
      <c r="L623" s="24"/>
      <c r="M623" s="24"/>
      <c r="O623" s="24"/>
      <c r="P623" s="24"/>
      <c r="Q623" s="24"/>
    </row>
    <row r="624" spans="12:17" x14ac:dyDescent="0.3">
      <c r="L624" s="24"/>
      <c r="M624" s="24"/>
      <c r="O624" s="24"/>
      <c r="P624" s="24"/>
      <c r="Q624" s="24"/>
    </row>
    <row r="625" spans="12:17" x14ac:dyDescent="0.3">
      <c r="L625" s="24"/>
      <c r="M625" s="24"/>
      <c r="O625" s="24"/>
      <c r="P625" s="24"/>
      <c r="Q625" s="24"/>
    </row>
    <row r="626" spans="12:17" x14ac:dyDescent="0.3">
      <c r="L626" s="24"/>
      <c r="M626" s="24"/>
      <c r="O626" s="24"/>
      <c r="P626" s="24"/>
      <c r="Q626" s="24"/>
    </row>
    <row r="627" spans="12:17" x14ac:dyDescent="0.3">
      <c r="L627" s="24"/>
      <c r="M627" s="24"/>
      <c r="O627" s="24"/>
      <c r="P627" s="24"/>
      <c r="Q627" s="24"/>
    </row>
    <row r="628" spans="12:17" x14ac:dyDescent="0.3">
      <c r="L628" s="24"/>
      <c r="M628" s="24"/>
      <c r="O628" s="24"/>
      <c r="P628" s="24"/>
      <c r="Q628" s="24"/>
    </row>
    <row r="629" spans="12:17" x14ac:dyDescent="0.3">
      <c r="L629" s="24"/>
      <c r="M629" s="24"/>
      <c r="O629" s="24"/>
      <c r="P629" s="24"/>
      <c r="Q629" s="24"/>
    </row>
    <row r="630" spans="12:17" x14ac:dyDescent="0.3">
      <c r="L630" s="24"/>
      <c r="M630" s="24"/>
      <c r="O630" s="24"/>
      <c r="P630" s="24"/>
      <c r="Q630" s="24"/>
    </row>
    <row r="631" spans="12:17" x14ac:dyDescent="0.3">
      <c r="L631" s="24"/>
      <c r="M631" s="24"/>
      <c r="O631" s="24"/>
      <c r="P631" s="24"/>
      <c r="Q631" s="24"/>
    </row>
    <row r="632" spans="12:17" x14ac:dyDescent="0.3">
      <c r="L632" s="24"/>
      <c r="M632" s="24"/>
      <c r="O632" s="24"/>
      <c r="P632" s="24"/>
      <c r="Q632" s="24"/>
    </row>
    <row r="633" spans="12:17" x14ac:dyDescent="0.3">
      <c r="L633" s="24"/>
      <c r="M633" s="24"/>
      <c r="O633" s="24"/>
      <c r="P633" s="24"/>
      <c r="Q633" s="24"/>
    </row>
    <row r="634" spans="12:17" x14ac:dyDescent="0.3">
      <c r="L634" s="24"/>
      <c r="M634" s="24"/>
      <c r="O634" s="24"/>
      <c r="P634" s="24"/>
      <c r="Q634" s="24"/>
    </row>
    <row r="635" spans="12:17" x14ac:dyDescent="0.3">
      <c r="L635" s="24"/>
      <c r="M635" s="24"/>
      <c r="O635" s="24"/>
      <c r="P635" s="24"/>
      <c r="Q635" s="24"/>
    </row>
    <row r="636" spans="12:17" x14ac:dyDescent="0.3">
      <c r="L636" s="24"/>
      <c r="M636" s="24"/>
      <c r="O636" s="24"/>
      <c r="P636" s="24"/>
      <c r="Q636" s="24"/>
    </row>
    <row r="637" spans="12:17" x14ac:dyDescent="0.3">
      <c r="L637" s="24"/>
      <c r="M637" s="24"/>
      <c r="O637" s="24"/>
      <c r="P637" s="24"/>
      <c r="Q637" s="24"/>
    </row>
    <row r="638" spans="12:17" x14ac:dyDescent="0.3">
      <c r="L638" s="24"/>
      <c r="M638" s="24"/>
      <c r="O638" s="24"/>
      <c r="P638" s="24"/>
      <c r="Q638" s="24"/>
    </row>
    <row r="639" spans="12:17" x14ac:dyDescent="0.3">
      <c r="L639" s="24"/>
      <c r="M639" s="24"/>
      <c r="O639" s="24"/>
      <c r="P639" s="24"/>
      <c r="Q639" s="24"/>
    </row>
    <row r="640" spans="12:17" x14ac:dyDescent="0.3">
      <c r="L640" s="24"/>
      <c r="M640" s="24"/>
      <c r="O640" s="24"/>
      <c r="P640" s="24"/>
      <c r="Q640" s="24"/>
    </row>
    <row r="641" spans="12:17" x14ac:dyDescent="0.3">
      <c r="L641" s="24"/>
      <c r="M641" s="24"/>
      <c r="O641" s="24"/>
      <c r="P641" s="24"/>
      <c r="Q641" s="24"/>
    </row>
    <row r="642" spans="12:17" x14ac:dyDescent="0.3">
      <c r="L642" s="24"/>
      <c r="M642" s="24"/>
      <c r="O642" s="24"/>
      <c r="P642" s="24"/>
      <c r="Q642" s="24"/>
    </row>
    <row r="643" spans="12:17" x14ac:dyDescent="0.3">
      <c r="L643" s="24"/>
      <c r="M643" s="24"/>
      <c r="O643" s="24"/>
      <c r="P643" s="24"/>
      <c r="Q643" s="24"/>
    </row>
    <row r="644" spans="12:17" x14ac:dyDescent="0.3">
      <c r="L644" s="24"/>
      <c r="M644" s="24"/>
      <c r="O644" s="24"/>
      <c r="P644" s="24"/>
      <c r="Q644" s="24"/>
    </row>
    <row r="645" spans="12:17" x14ac:dyDescent="0.3">
      <c r="L645" s="24"/>
      <c r="M645" s="24"/>
      <c r="O645" s="24"/>
      <c r="P645" s="24"/>
      <c r="Q645" s="24"/>
    </row>
    <row r="646" spans="12:17" x14ac:dyDescent="0.3">
      <c r="L646" s="24"/>
      <c r="M646" s="24"/>
      <c r="O646" s="24"/>
      <c r="P646" s="24"/>
      <c r="Q646" s="24"/>
    </row>
    <row r="647" spans="12:17" x14ac:dyDescent="0.3">
      <c r="L647" s="24"/>
      <c r="M647" s="24"/>
      <c r="O647" s="24"/>
      <c r="P647" s="24"/>
      <c r="Q647" s="24"/>
    </row>
    <row r="648" spans="12:17" x14ac:dyDescent="0.3">
      <c r="L648" s="24"/>
      <c r="M648" s="24"/>
      <c r="O648" s="24"/>
      <c r="P648" s="24"/>
      <c r="Q648" s="24"/>
    </row>
    <row r="649" spans="12:17" x14ac:dyDescent="0.3">
      <c r="L649" s="24"/>
      <c r="M649" s="24"/>
      <c r="O649" s="24"/>
      <c r="P649" s="24"/>
      <c r="Q649" s="24"/>
    </row>
    <row r="650" spans="12:17" x14ac:dyDescent="0.3">
      <c r="L650" s="24"/>
      <c r="M650" s="24"/>
      <c r="O650" s="24"/>
      <c r="P650" s="24"/>
      <c r="Q650" s="24"/>
    </row>
    <row r="651" spans="12:17" x14ac:dyDescent="0.3">
      <c r="L651" s="24"/>
      <c r="M651" s="24"/>
      <c r="O651" s="24"/>
      <c r="P651" s="24"/>
      <c r="Q651" s="24"/>
    </row>
    <row r="652" spans="12:17" x14ac:dyDescent="0.3">
      <c r="L652" s="24"/>
      <c r="M652" s="24"/>
      <c r="O652" s="24"/>
      <c r="P652" s="24"/>
      <c r="Q652" s="24"/>
    </row>
    <row r="653" spans="12:17" x14ac:dyDescent="0.3">
      <c r="L653" s="24"/>
      <c r="M653" s="24"/>
      <c r="O653" s="24"/>
      <c r="P653" s="24"/>
      <c r="Q653" s="24"/>
    </row>
    <row r="654" spans="12:17" x14ac:dyDescent="0.3">
      <c r="L654" s="24"/>
      <c r="M654" s="24"/>
      <c r="O654" s="24"/>
      <c r="P654" s="24"/>
      <c r="Q654" s="24"/>
    </row>
    <row r="655" spans="12:17" x14ac:dyDescent="0.3">
      <c r="L655" s="24"/>
      <c r="M655" s="24"/>
      <c r="O655" s="24"/>
      <c r="P655" s="24"/>
      <c r="Q655" s="24"/>
    </row>
    <row r="656" spans="12:17" x14ac:dyDescent="0.3">
      <c r="L656" s="24"/>
      <c r="M656" s="24"/>
      <c r="O656" s="24"/>
      <c r="P656" s="24"/>
      <c r="Q656" s="24"/>
    </row>
    <row r="657" spans="12:17" x14ac:dyDescent="0.3">
      <c r="L657" s="24"/>
      <c r="M657" s="24"/>
      <c r="O657" s="24"/>
      <c r="P657" s="24"/>
      <c r="Q657" s="24"/>
    </row>
    <row r="658" spans="12:17" x14ac:dyDescent="0.3">
      <c r="L658" s="24"/>
      <c r="M658" s="24"/>
      <c r="O658" s="24"/>
      <c r="P658" s="24"/>
      <c r="Q658" s="24"/>
    </row>
    <row r="659" spans="12:17" x14ac:dyDescent="0.3">
      <c r="L659" s="24"/>
      <c r="M659" s="24"/>
      <c r="O659" s="24"/>
      <c r="P659" s="24"/>
      <c r="Q659" s="24"/>
    </row>
    <row r="660" spans="12:17" x14ac:dyDescent="0.3">
      <c r="L660" s="24"/>
      <c r="M660" s="24"/>
      <c r="O660" s="24"/>
      <c r="P660" s="24"/>
      <c r="Q660" s="24"/>
    </row>
    <row r="661" spans="12:17" x14ac:dyDescent="0.3">
      <c r="L661" s="24"/>
      <c r="M661" s="24"/>
      <c r="O661" s="24"/>
      <c r="P661" s="24"/>
      <c r="Q661" s="24"/>
    </row>
    <row r="662" spans="12:17" x14ac:dyDescent="0.3">
      <c r="L662" s="24"/>
      <c r="M662" s="24"/>
      <c r="O662" s="24"/>
      <c r="P662" s="24"/>
      <c r="Q662" s="24"/>
    </row>
    <row r="663" spans="12:17" x14ac:dyDescent="0.3">
      <c r="L663" s="24"/>
      <c r="M663" s="24"/>
      <c r="O663" s="24"/>
      <c r="P663" s="24"/>
      <c r="Q663" s="24"/>
    </row>
    <row r="664" spans="12:17" x14ac:dyDescent="0.3">
      <c r="L664" s="24"/>
      <c r="M664" s="24"/>
      <c r="O664" s="24"/>
      <c r="P664" s="24"/>
      <c r="Q664" s="24"/>
    </row>
    <row r="665" spans="12:17" x14ac:dyDescent="0.3">
      <c r="L665" s="24"/>
      <c r="M665" s="24"/>
      <c r="O665" s="24"/>
      <c r="P665" s="24"/>
      <c r="Q665" s="24"/>
    </row>
    <row r="666" spans="12:17" x14ac:dyDescent="0.3">
      <c r="L666" s="24"/>
      <c r="M666" s="24"/>
      <c r="O666" s="24"/>
      <c r="P666" s="24"/>
      <c r="Q666" s="24"/>
    </row>
    <row r="667" spans="12:17" x14ac:dyDescent="0.3">
      <c r="L667" s="24"/>
      <c r="M667" s="24"/>
      <c r="O667" s="24"/>
      <c r="P667" s="24"/>
      <c r="Q667" s="24"/>
    </row>
    <row r="668" spans="12:17" x14ac:dyDescent="0.3">
      <c r="L668" s="24"/>
      <c r="M668" s="24"/>
      <c r="O668" s="24"/>
      <c r="P668" s="24"/>
      <c r="Q668" s="24"/>
    </row>
    <row r="669" spans="12:17" x14ac:dyDescent="0.3">
      <c r="L669" s="24"/>
      <c r="M669" s="24"/>
      <c r="O669" s="24"/>
      <c r="P669" s="24"/>
      <c r="Q669" s="24"/>
    </row>
    <row r="670" spans="12:17" x14ac:dyDescent="0.3">
      <c r="L670" s="24"/>
      <c r="M670" s="24"/>
      <c r="O670" s="24"/>
      <c r="P670" s="24"/>
      <c r="Q670" s="24"/>
    </row>
    <row r="671" spans="12:17" x14ac:dyDescent="0.3">
      <c r="L671" s="24"/>
      <c r="M671" s="24"/>
      <c r="O671" s="24"/>
      <c r="P671" s="24"/>
      <c r="Q671" s="24"/>
    </row>
    <row r="672" spans="12:17" x14ac:dyDescent="0.3">
      <c r="L672" s="24"/>
      <c r="M672" s="24"/>
      <c r="O672" s="24"/>
      <c r="P672" s="24"/>
      <c r="Q672" s="24"/>
    </row>
    <row r="673" spans="12:17" x14ac:dyDescent="0.3">
      <c r="L673" s="24"/>
      <c r="M673" s="24"/>
      <c r="O673" s="24"/>
      <c r="P673" s="24"/>
      <c r="Q673" s="24"/>
    </row>
    <row r="674" spans="12:17" x14ac:dyDescent="0.3">
      <c r="L674" s="24"/>
      <c r="M674" s="24"/>
      <c r="O674" s="24"/>
      <c r="P674" s="24"/>
      <c r="Q674" s="24"/>
    </row>
    <row r="675" spans="12:17" x14ac:dyDescent="0.3">
      <c r="L675" s="24"/>
      <c r="M675" s="24"/>
      <c r="O675" s="24"/>
      <c r="P675" s="24"/>
      <c r="Q675" s="24"/>
    </row>
    <row r="676" spans="12:17" x14ac:dyDescent="0.3">
      <c r="L676" s="24"/>
      <c r="M676" s="24"/>
      <c r="O676" s="24"/>
      <c r="P676" s="24"/>
      <c r="Q676" s="24"/>
    </row>
    <row r="677" spans="12:17" x14ac:dyDescent="0.3">
      <c r="L677" s="24"/>
      <c r="M677" s="24"/>
      <c r="O677" s="24"/>
      <c r="P677" s="24"/>
      <c r="Q677" s="24"/>
    </row>
    <row r="678" spans="12:17" x14ac:dyDescent="0.3">
      <c r="L678" s="24"/>
      <c r="M678" s="24"/>
      <c r="O678" s="24"/>
      <c r="P678" s="24"/>
      <c r="Q678" s="24"/>
    </row>
    <row r="679" spans="12:17" x14ac:dyDescent="0.3">
      <c r="L679" s="24"/>
      <c r="M679" s="24"/>
      <c r="O679" s="24"/>
      <c r="P679" s="24"/>
      <c r="Q679" s="24"/>
    </row>
    <row r="680" spans="12:17" x14ac:dyDescent="0.3">
      <c r="L680" s="24"/>
      <c r="M680" s="24"/>
      <c r="O680" s="24"/>
      <c r="P680" s="24"/>
      <c r="Q680" s="24"/>
    </row>
    <row r="681" spans="12:17" x14ac:dyDescent="0.3">
      <c r="L681" s="24"/>
      <c r="M681" s="24"/>
      <c r="O681" s="24"/>
      <c r="P681" s="24"/>
      <c r="Q681" s="24"/>
    </row>
    <row r="682" spans="12:17" x14ac:dyDescent="0.3">
      <c r="L682" s="24"/>
      <c r="M682" s="24"/>
      <c r="O682" s="24"/>
      <c r="P682" s="24"/>
      <c r="Q682" s="24"/>
    </row>
    <row r="683" spans="12:17" x14ac:dyDescent="0.3">
      <c r="L683" s="24"/>
      <c r="M683" s="24"/>
      <c r="O683" s="24"/>
      <c r="P683" s="24"/>
      <c r="Q683" s="24"/>
    </row>
    <row r="684" spans="12:17" x14ac:dyDescent="0.3">
      <c r="L684" s="24"/>
      <c r="M684" s="24"/>
      <c r="O684" s="24"/>
      <c r="P684" s="24"/>
      <c r="Q684" s="24"/>
    </row>
    <row r="685" spans="12:17" x14ac:dyDescent="0.3">
      <c r="L685" s="24"/>
      <c r="M685" s="24"/>
      <c r="O685" s="24"/>
      <c r="P685" s="24"/>
      <c r="Q685" s="24"/>
    </row>
    <row r="686" spans="12:17" x14ac:dyDescent="0.3">
      <c r="L686" s="24"/>
      <c r="M686" s="24"/>
      <c r="O686" s="24"/>
      <c r="P686" s="24"/>
      <c r="Q686" s="24"/>
    </row>
    <row r="687" spans="12:17" x14ac:dyDescent="0.3">
      <c r="L687" s="24"/>
      <c r="M687" s="24"/>
      <c r="O687" s="24"/>
      <c r="P687" s="24"/>
      <c r="Q687" s="24"/>
    </row>
    <row r="688" spans="12:17" x14ac:dyDescent="0.3">
      <c r="L688" s="24"/>
      <c r="M688" s="24"/>
      <c r="O688" s="24"/>
      <c r="P688" s="24"/>
      <c r="Q688" s="24"/>
    </row>
    <row r="689" spans="12:17" x14ac:dyDescent="0.3">
      <c r="L689" s="24"/>
      <c r="M689" s="24"/>
      <c r="O689" s="24"/>
      <c r="P689" s="24"/>
      <c r="Q689" s="24"/>
    </row>
    <row r="690" spans="12:17" x14ac:dyDescent="0.3">
      <c r="L690" s="24"/>
      <c r="M690" s="24"/>
      <c r="O690" s="24"/>
      <c r="P690" s="24"/>
      <c r="Q690" s="24"/>
    </row>
    <row r="691" spans="12:17" x14ac:dyDescent="0.3">
      <c r="L691" s="24"/>
      <c r="M691" s="24"/>
      <c r="O691" s="24"/>
      <c r="P691" s="24"/>
      <c r="Q691" s="24"/>
    </row>
    <row r="692" spans="12:17" x14ac:dyDescent="0.3">
      <c r="L692" s="24"/>
      <c r="M692" s="24"/>
      <c r="O692" s="24"/>
      <c r="P692" s="24"/>
      <c r="Q692" s="24"/>
    </row>
    <row r="693" spans="12:17" x14ac:dyDescent="0.3">
      <c r="L693" s="24"/>
      <c r="M693" s="24"/>
      <c r="O693" s="24"/>
      <c r="P693" s="24"/>
      <c r="Q693" s="24"/>
    </row>
    <row r="694" spans="12:17" x14ac:dyDescent="0.3">
      <c r="L694" s="24"/>
      <c r="M694" s="24"/>
      <c r="O694" s="24"/>
      <c r="P694" s="24"/>
      <c r="Q694" s="24"/>
    </row>
    <row r="695" spans="12:17" x14ac:dyDescent="0.3">
      <c r="L695" s="24"/>
      <c r="M695" s="24"/>
      <c r="O695" s="24"/>
      <c r="P695" s="24"/>
      <c r="Q695" s="24"/>
    </row>
    <row r="696" spans="12:17" x14ac:dyDescent="0.3">
      <c r="L696" s="24"/>
      <c r="M696" s="24"/>
      <c r="O696" s="24"/>
      <c r="P696" s="24"/>
      <c r="Q696" s="24"/>
    </row>
    <row r="697" spans="12:17" x14ac:dyDescent="0.3">
      <c r="L697" s="24"/>
      <c r="M697" s="24"/>
      <c r="O697" s="24"/>
      <c r="P697" s="24"/>
      <c r="Q697" s="24"/>
    </row>
    <row r="698" spans="12:17" x14ac:dyDescent="0.3">
      <c r="L698" s="24"/>
      <c r="M698" s="24"/>
      <c r="O698" s="24"/>
      <c r="P698" s="24"/>
      <c r="Q698" s="24"/>
    </row>
    <row r="699" spans="12:17" x14ac:dyDescent="0.3">
      <c r="L699" s="24"/>
      <c r="M699" s="24"/>
      <c r="O699" s="24"/>
      <c r="P699" s="24"/>
      <c r="Q699" s="24"/>
    </row>
    <row r="700" spans="12:17" x14ac:dyDescent="0.3">
      <c r="L700" s="24"/>
      <c r="M700" s="24"/>
      <c r="O700" s="24"/>
      <c r="P700" s="24"/>
      <c r="Q700" s="24"/>
    </row>
    <row r="701" spans="12:17" x14ac:dyDescent="0.3">
      <c r="L701" s="24"/>
      <c r="M701" s="24"/>
      <c r="O701" s="24"/>
      <c r="P701" s="24"/>
      <c r="Q701" s="24"/>
    </row>
    <row r="702" spans="12:17" x14ac:dyDescent="0.3">
      <c r="L702" s="24"/>
      <c r="M702" s="24"/>
      <c r="O702" s="24"/>
      <c r="P702" s="24"/>
      <c r="Q702" s="24"/>
    </row>
    <row r="703" spans="12:17" x14ac:dyDescent="0.3">
      <c r="L703" s="24"/>
      <c r="M703" s="24"/>
      <c r="O703" s="24"/>
      <c r="P703" s="24"/>
      <c r="Q703" s="24"/>
    </row>
    <row r="704" spans="12:17" x14ac:dyDescent="0.3">
      <c r="L704" s="24"/>
      <c r="M704" s="24"/>
      <c r="O704" s="24"/>
      <c r="P704" s="24"/>
      <c r="Q704" s="24"/>
    </row>
    <row r="705" spans="12:17" x14ac:dyDescent="0.3">
      <c r="L705" s="24"/>
      <c r="M705" s="24"/>
      <c r="O705" s="24"/>
      <c r="P705" s="24"/>
      <c r="Q705" s="24"/>
    </row>
    <row r="706" spans="12:17" x14ac:dyDescent="0.3">
      <c r="L706" s="24"/>
      <c r="M706" s="24"/>
      <c r="O706" s="24"/>
      <c r="P706" s="24"/>
      <c r="Q706" s="24"/>
    </row>
    <row r="707" spans="12:17" x14ac:dyDescent="0.3">
      <c r="L707" s="24"/>
      <c r="M707" s="24"/>
      <c r="O707" s="24"/>
      <c r="P707" s="24"/>
      <c r="Q707" s="24"/>
    </row>
    <row r="708" spans="12:17" x14ac:dyDescent="0.3">
      <c r="L708" s="24"/>
      <c r="M708" s="24"/>
      <c r="O708" s="24"/>
      <c r="P708" s="24"/>
      <c r="Q708" s="24"/>
    </row>
    <row r="709" spans="12:17" x14ac:dyDescent="0.3">
      <c r="L709" s="24"/>
      <c r="M709" s="24"/>
      <c r="O709" s="24"/>
      <c r="P709" s="24"/>
      <c r="Q709" s="24"/>
    </row>
    <row r="710" spans="12:17" x14ac:dyDescent="0.3">
      <c r="L710" s="24"/>
      <c r="M710" s="24"/>
      <c r="O710" s="24"/>
      <c r="P710" s="24"/>
      <c r="Q710" s="24"/>
    </row>
    <row r="711" spans="12:17" x14ac:dyDescent="0.3">
      <c r="L711" s="24"/>
      <c r="M711" s="24"/>
      <c r="O711" s="24"/>
      <c r="P711" s="24"/>
      <c r="Q711" s="24"/>
    </row>
    <row r="712" spans="12:17" x14ac:dyDescent="0.3">
      <c r="L712" s="24"/>
      <c r="M712" s="24"/>
      <c r="O712" s="24"/>
      <c r="P712" s="24"/>
      <c r="Q712" s="24"/>
    </row>
    <row r="713" spans="12:17" x14ac:dyDescent="0.3">
      <c r="L713" s="24"/>
      <c r="M713" s="24"/>
      <c r="O713" s="24"/>
      <c r="P713" s="24"/>
      <c r="Q713" s="24"/>
    </row>
    <row r="714" spans="12:17" x14ac:dyDescent="0.3">
      <c r="L714" s="24"/>
      <c r="M714" s="24"/>
      <c r="O714" s="24"/>
      <c r="P714" s="24"/>
      <c r="Q714" s="24"/>
    </row>
    <row r="715" spans="12:17" x14ac:dyDescent="0.3">
      <c r="L715" s="24"/>
      <c r="M715" s="24"/>
      <c r="O715" s="24"/>
      <c r="P715" s="24"/>
      <c r="Q715" s="24"/>
    </row>
    <row r="716" spans="12:17" x14ac:dyDescent="0.3">
      <c r="L716" s="24"/>
      <c r="M716" s="24"/>
      <c r="O716" s="24"/>
      <c r="P716" s="24"/>
      <c r="Q716" s="24"/>
    </row>
    <row r="717" spans="12:17" x14ac:dyDescent="0.3">
      <c r="L717" s="24"/>
      <c r="M717" s="24"/>
      <c r="O717" s="24"/>
      <c r="P717" s="24"/>
      <c r="Q717" s="24"/>
    </row>
    <row r="718" spans="12:17" x14ac:dyDescent="0.3">
      <c r="L718" s="24"/>
      <c r="M718" s="24"/>
      <c r="O718" s="24"/>
      <c r="P718" s="24"/>
      <c r="Q718" s="24"/>
    </row>
    <row r="719" spans="12:17" x14ac:dyDescent="0.3">
      <c r="L719" s="24"/>
      <c r="M719" s="24"/>
      <c r="O719" s="24"/>
      <c r="P719" s="24"/>
      <c r="Q719" s="24"/>
    </row>
    <row r="720" spans="12:17" x14ac:dyDescent="0.3">
      <c r="L720" s="24"/>
      <c r="M720" s="24"/>
      <c r="O720" s="24"/>
      <c r="P720" s="24"/>
      <c r="Q720" s="24"/>
    </row>
    <row r="721" spans="12:17" x14ac:dyDescent="0.3">
      <c r="L721" s="24"/>
      <c r="M721" s="24"/>
      <c r="O721" s="24"/>
      <c r="P721" s="24"/>
      <c r="Q721" s="24"/>
    </row>
    <row r="722" spans="12:17" x14ac:dyDescent="0.3">
      <c r="L722" s="24"/>
      <c r="M722" s="24"/>
      <c r="O722" s="24"/>
      <c r="P722" s="24"/>
      <c r="Q722" s="24"/>
    </row>
    <row r="723" spans="12:17" x14ac:dyDescent="0.3">
      <c r="L723" s="24"/>
      <c r="M723" s="24"/>
      <c r="O723" s="24"/>
      <c r="P723" s="24"/>
      <c r="Q723" s="24"/>
    </row>
    <row r="724" spans="12:17" x14ac:dyDescent="0.3">
      <c r="L724" s="24"/>
      <c r="M724" s="24"/>
      <c r="O724" s="24"/>
      <c r="P724" s="24"/>
      <c r="Q724" s="24"/>
    </row>
    <row r="725" spans="12:17" x14ac:dyDescent="0.3">
      <c r="L725" s="24"/>
      <c r="M725" s="24"/>
      <c r="O725" s="24"/>
      <c r="P725" s="24"/>
      <c r="Q725" s="24"/>
    </row>
    <row r="726" spans="12:17" x14ac:dyDescent="0.3">
      <c r="L726" s="24"/>
      <c r="M726" s="24"/>
      <c r="O726" s="24"/>
      <c r="P726" s="24"/>
      <c r="Q726" s="24"/>
    </row>
    <row r="727" spans="12:17" x14ac:dyDescent="0.3">
      <c r="L727" s="24"/>
      <c r="M727" s="24"/>
      <c r="O727" s="24"/>
      <c r="P727" s="24"/>
      <c r="Q727" s="24"/>
    </row>
    <row r="728" spans="12:17" x14ac:dyDescent="0.3">
      <c r="L728" s="24"/>
      <c r="M728" s="24"/>
      <c r="O728" s="24"/>
      <c r="P728" s="24"/>
      <c r="Q728" s="24"/>
    </row>
    <row r="729" spans="12:17" x14ac:dyDescent="0.3">
      <c r="L729" s="24"/>
      <c r="M729" s="24"/>
      <c r="O729" s="24"/>
      <c r="P729" s="24"/>
      <c r="Q729" s="24"/>
    </row>
    <row r="730" spans="12:17" x14ac:dyDescent="0.3">
      <c r="L730" s="24"/>
      <c r="M730" s="24"/>
      <c r="O730" s="24"/>
      <c r="P730" s="24"/>
      <c r="Q730" s="24"/>
    </row>
    <row r="731" spans="12:17" x14ac:dyDescent="0.3">
      <c r="L731" s="24"/>
      <c r="M731" s="24"/>
      <c r="O731" s="24"/>
      <c r="P731" s="24"/>
      <c r="Q731" s="24"/>
    </row>
    <row r="732" spans="12:17" x14ac:dyDescent="0.3">
      <c r="L732" s="24"/>
      <c r="M732" s="24"/>
      <c r="O732" s="24"/>
      <c r="P732" s="24"/>
      <c r="Q732" s="24"/>
    </row>
    <row r="733" spans="12:17" x14ac:dyDescent="0.3">
      <c r="L733" s="24"/>
      <c r="M733" s="24"/>
      <c r="O733" s="24"/>
      <c r="P733" s="24"/>
      <c r="Q733" s="24"/>
    </row>
    <row r="734" spans="12:17" x14ac:dyDescent="0.3">
      <c r="L734" s="24"/>
      <c r="M734" s="24"/>
      <c r="O734" s="24"/>
      <c r="P734" s="24"/>
      <c r="Q734" s="24"/>
    </row>
    <row r="735" spans="12:17" x14ac:dyDescent="0.3">
      <c r="L735" s="24"/>
      <c r="M735" s="24"/>
      <c r="O735" s="24"/>
      <c r="P735" s="24"/>
      <c r="Q735" s="24"/>
    </row>
    <row r="736" spans="12:17" x14ac:dyDescent="0.3">
      <c r="L736" s="24"/>
      <c r="M736" s="24"/>
      <c r="O736" s="24"/>
      <c r="P736" s="24"/>
      <c r="Q736" s="24"/>
    </row>
    <row r="737" spans="12:17" x14ac:dyDescent="0.3">
      <c r="L737" s="24"/>
      <c r="M737" s="24"/>
      <c r="O737" s="24"/>
      <c r="P737" s="24"/>
      <c r="Q737" s="24"/>
    </row>
    <row r="738" spans="12:17" x14ac:dyDescent="0.3">
      <c r="L738" s="24"/>
      <c r="M738" s="24"/>
      <c r="O738" s="24"/>
      <c r="P738" s="24"/>
      <c r="Q738" s="24"/>
    </row>
    <row r="739" spans="12:17" x14ac:dyDescent="0.3">
      <c r="L739" s="24"/>
      <c r="M739" s="24"/>
      <c r="O739" s="24"/>
      <c r="P739" s="24"/>
      <c r="Q739" s="24"/>
    </row>
    <row r="740" spans="12:17" x14ac:dyDescent="0.3">
      <c r="L740" s="24"/>
      <c r="M740" s="24"/>
      <c r="O740" s="24"/>
      <c r="P740" s="24"/>
      <c r="Q740" s="24"/>
    </row>
    <row r="741" spans="12:17" x14ac:dyDescent="0.3">
      <c r="L741" s="24"/>
      <c r="M741" s="24"/>
      <c r="O741" s="24"/>
      <c r="P741" s="24"/>
      <c r="Q741" s="24"/>
    </row>
    <row r="742" spans="12:17" x14ac:dyDescent="0.3">
      <c r="L742" s="24"/>
      <c r="M742" s="24"/>
      <c r="O742" s="24"/>
      <c r="P742" s="24"/>
      <c r="Q742" s="24"/>
    </row>
    <row r="743" spans="12:17" x14ac:dyDescent="0.3">
      <c r="L743" s="24"/>
      <c r="M743" s="24"/>
      <c r="O743" s="24"/>
      <c r="P743" s="24"/>
      <c r="Q743" s="24"/>
    </row>
    <row r="744" spans="12:17" x14ac:dyDescent="0.3">
      <c r="L744" s="24"/>
      <c r="M744" s="24"/>
      <c r="O744" s="24"/>
      <c r="P744" s="24"/>
      <c r="Q744" s="24"/>
    </row>
    <row r="745" spans="12:17" x14ac:dyDescent="0.3">
      <c r="L745" s="24"/>
      <c r="M745" s="24"/>
      <c r="O745" s="24"/>
      <c r="P745" s="24"/>
      <c r="Q745" s="24"/>
    </row>
    <row r="746" spans="12:17" x14ac:dyDescent="0.3">
      <c r="L746" s="24"/>
      <c r="M746" s="24"/>
      <c r="O746" s="24"/>
      <c r="P746" s="24"/>
      <c r="Q746" s="24"/>
    </row>
    <row r="747" spans="12:17" x14ac:dyDescent="0.3">
      <c r="L747" s="24"/>
      <c r="M747" s="24"/>
      <c r="O747" s="24"/>
      <c r="P747" s="24"/>
      <c r="Q747" s="24"/>
    </row>
    <row r="748" spans="12:17" x14ac:dyDescent="0.3">
      <c r="L748" s="24"/>
      <c r="M748" s="24"/>
      <c r="O748" s="24"/>
      <c r="P748" s="24"/>
      <c r="Q748" s="24"/>
    </row>
    <row r="749" spans="12:17" x14ac:dyDescent="0.3">
      <c r="L749" s="24"/>
      <c r="M749" s="24"/>
      <c r="O749" s="24"/>
      <c r="P749" s="24"/>
      <c r="Q749" s="24"/>
    </row>
    <row r="750" spans="12:17" x14ac:dyDescent="0.3">
      <c r="L750" s="24"/>
      <c r="M750" s="24"/>
      <c r="O750" s="24"/>
      <c r="P750" s="24"/>
      <c r="Q750" s="24"/>
    </row>
    <row r="751" spans="12:17" x14ac:dyDescent="0.3">
      <c r="L751" s="24"/>
      <c r="M751" s="24"/>
      <c r="O751" s="24"/>
      <c r="P751" s="24"/>
      <c r="Q751" s="24"/>
    </row>
    <row r="752" spans="12:17" x14ac:dyDescent="0.3">
      <c r="L752" s="24"/>
      <c r="M752" s="24"/>
      <c r="O752" s="24"/>
      <c r="P752" s="24"/>
      <c r="Q752" s="24"/>
    </row>
    <row r="753" spans="12:17" x14ac:dyDescent="0.3">
      <c r="L753" s="24"/>
      <c r="M753" s="24"/>
      <c r="O753" s="24"/>
      <c r="P753" s="24"/>
      <c r="Q753" s="24"/>
    </row>
    <row r="754" spans="12:17" x14ac:dyDescent="0.3">
      <c r="L754" s="24"/>
      <c r="M754" s="24"/>
      <c r="O754" s="24"/>
      <c r="P754" s="24"/>
      <c r="Q754" s="24"/>
    </row>
    <row r="755" spans="12:17" x14ac:dyDescent="0.3">
      <c r="L755" s="24"/>
      <c r="M755" s="24"/>
      <c r="O755" s="24"/>
      <c r="P755" s="24"/>
      <c r="Q755" s="24"/>
    </row>
    <row r="756" spans="12:17" x14ac:dyDescent="0.3">
      <c r="L756" s="24"/>
      <c r="M756" s="24"/>
      <c r="O756" s="24"/>
      <c r="P756" s="24"/>
      <c r="Q756" s="24"/>
    </row>
    <row r="757" spans="12:17" x14ac:dyDescent="0.3">
      <c r="L757" s="24"/>
      <c r="M757" s="24"/>
      <c r="O757" s="24"/>
      <c r="P757" s="24"/>
      <c r="Q757" s="24"/>
    </row>
    <row r="758" spans="12:17" x14ac:dyDescent="0.3">
      <c r="L758" s="24"/>
      <c r="M758" s="24"/>
      <c r="O758" s="24"/>
      <c r="P758" s="24"/>
      <c r="Q758" s="24"/>
    </row>
    <row r="759" spans="12:17" x14ac:dyDescent="0.3">
      <c r="L759" s="24"/>
      <c r="M759" s="24"/>
      <c r="O759" s="24"/>
      <c r="P759" s="24"/>
      <c r="Q759" s="24"/>
    </row>
    <row r="760" spans="12:17" x14ac:dyDescent="0.3">
      <c r="L760" s="24"/>
      <c r="M760" s="24"/>
      <c r="O760" s="24"/>
      <c r="P760" s="24"/>
      <c r="Q760" s="24"/>
    </row>
    <row r="761" spans="12:17" x14ac:dyDescent="0.3">
      <c r="L761" s="24"/>
      <c r="M761" s="24"/>
      <c r="O761" s="24"/>
      <c r="P761" s="24"/>
      <c r="Q761" s="24"/>
    </row>
    <row r="762" spans="12:17" x14ac:dyDescent="0.3">
      <c r="L762" s="24"/>
      <c r="M762" s="24"/>
      <c r="O762" s="24"/>
      <c r="P762" s="24"/>
      <c r="Q762" s="24"/>
    </row>
    <row r="763" spans="12:17" x14ac:dyDescent="0.3">
      <c r="L763" s="24"/>
      <c r="M763" s="24"/>
      <c r="O763" s="24"/>
      <c r="P763" s="24"/>
      <c r="Q763" s="24"/>
    </row>
    <row r="764" spans="12:17" x14ac:dyDescent="0.3">
      <c r="L764" s="24"/>
      <c r="M764" s="24"/>
      <c r="O764" s="24"/>
      <c r="P764" s="24"/>
      <c r="Q764" s="24"/>
    </row>
    <row r="765" spans="12:17" x14ac:dyDescent="0.3">
      <c r="L765" s="24"/>
      <c r="M765" s="24"/>
      <c r="O765" s="24"/>
      <c r="P765" s="24"/>
      <c r="Q765" s="24"/>
    </row>
    <row r="766" spans="12:17" x14ac:dyDescent="0.3">
      <c r="L766" s="24"/>
      <c r="M766" s="24"/>
      <c r="O766" s="24"/>
      <c r="P766" s="24"/>
      <c r="Q766" s="24"/>
    </row>
    <row r="767" spans="12:17" x14ac:dyDescent="0.3">
      <c r="L767" s="24"/>
      <c r="M767" s="24"/>
      <c r="O767" s="24"/>
      <c r="P767" s="24"/>
      <c r="Q767" s="24"/>
    </row>
    <row r="768" spans="12:17" x14ac:dyDescent="0.3">
      <c r="L768" s="24"/>
      <c r="M768" s="24"/>
      <c r="O768" s="24"/>
      <c r="P768" s="24"/>
      <c r="Q768" s="24"/>
    </row>
    <row r="769" spans="12:17" x14ac:dyDescent="0.3">
      <c r="L769" s="24"/>
      <c r="M769" s="24"/>
      <c r="O769" s="24"/>
      <c r="P769" s="24"/>
      <c r="Q769" s="24"/>
    </row>
    <row r="770" spans="12:17" x14ac:dyDescent="0.3">
      <c r="L770" s="24"/>
      <c r="M770" s="24"/>
      <c r="O770" s="24"/>
      <c r="P770" s="24"/>
      <c r="Q770" s="24"/>
    </row>
    <row r="771" spans="12:17" x14ac:dyDescent="0.3">
      <c r="L771" s="24"/>
      <c r="M771" s="24"/>
      <c r="O771" s="24"/>
      <c r="P771" s="24"/>
      <c r="Q771" s="24"/>
    </row>
    <row r="772" spans="12:17" x14ac:dyDescent="0.3">
      <c r="L772" s="24"/>
      <c r="M772" s="24"/>
      <c r="O772" s="24"/>
      <c r="P772" s="24"/>
      <c r="Q772" s="24"/>
    </row>
    <row r="773" spans="12:17" x14ac:dyDescent="0.3">
      <c r="L773" s="24"/>
      <c r="M773" s="24"/>
      <c r="O773" s="24"/>
      <c r="P773" s="24"/>
      <c r="Q773" s="24"/>
    </row>
    <row r="774" spans="12:17" x14ac:dyDescent="0.3">
      <c r="L774" s="24"/>
      <c r="M774" s="24"/>
      <c r="O774" s="24"/>
      <c r="P774" s="24"/>
      <c r="Q774" s="24"/>
    </row>
    <row r="775" spans="12:17" x14ac:dyDescent="0.3">
      <c r="L775" s="24"/>
      <c r="M775" s="24"/>
      <c r="O775" s="24"/>
      <c r="P775" s="24"/>
      <c r="Q775" s="24"/>
    </row>
    <row r="776" spans="12:17" x14ac:dyDescent="0.3">
      <c r="L776" s="24"/>
      <c r="M776" s="24"/>
      <c r="O776" s="24"/>
      <c r="P776" s="24"/>
      <c r="Q776" s="24"/>
    </row>
    <row r="777" spans="12:17" x14ac:dyDescent="0.3">
      <c r="L777" s="24"/>
      <c r="M777" s="24"/>
      <c r="O777" s="24"/>
      <c r="P777" s="24"/>
      <c r="Q777" s="24"/>
    </row>
    <row r="778" spans="12:17" x14ac:dyDescent="0.3">
      <c r="L778" s="24"/>
      <c r="M778" s="24"/>
      <c r="O778" s="24"/>
      <c r="P778" s="24"/>
      <c r="Q778" s="24"/>
    </row>
    <row r="779" spans="12:17" x14ac:dyDescent="0.3">
      <c r="L779" s="24"/>
      <c r="M779" s="24"/>
      <c r="O779" s="24"/>
      <c r="P779" s="24"/>
      <c r="Q779" s="24"/>
    </row>
    <row r="780" spans="12:17" x14ac:dyDescent="0.3">
      <c r="L780" s="24"/>
      <c r="M780" s="24"/>
      <c r="O780" s="24"/>
      <c r="P780" s="24"/>
      <c r="Q780" s="24"/>
    </row>
    <row r="781" spans="12:17" x14ac:dyDescent="0.3">
      <c r="L781" s="24"/>
      <c r="M781" s="24"/>
      <c r="O781" s="24"/>
      <c r="P781" s="24"/>
      <c r="Q781" s="24"/>
    </row>
    <row r="782" spans="12:17" x14ac:dyDescent="0.3">
      <c r="L782" s="24"/>
      <c r="M782" s="24"/>
      <c r="O782" s="24"/>
      <c r="P782" s="24"/>
      <c r="Q782" s="24"/>
    </row>
    <row r="783" spans="12:17" x14ac:dyDescent="0.3">
      <c r="L783" s="24"/>
      <c r="M783" s="24"/>
      <c r="O783" s="24"/>
      <c r="P783" s="24"/>
      <c r="Q783" s="24"/>
    </row>
    <row r="784" spans="12:17" x14ac:dyDescent="0.3">
      <c r="L784" s="24"/>
      <c r="M784" s="24"/>
      <c r="O784" s="24"/>
      <c r="P784" s="24"/>
      <c r="Q784" s="24"/>
    </row>
    <row r="785" spans="12:17" x14ac:dyDescent="0.3">
      <c r="L785" s="24"/>
      <c r="M785" s="24"/>
      <c r="O785" s="24"/>
      <c r="P785" s="24"/>
      <c r="Q785" s="24"/>
    </row>
    <row r="786" spans="12:17" x14ac:dyDescent="0.3">
      <c r="L786" s="24"/>
      <c r="M786" s="24"/>
      <c r="O786" s="24"/>
      <c r="P786" s="24"/>
      <c r="Q786" s="24"/>
    </row>
    <row r="787" spans="12:17" x14ac:dyDescent="0.3">
      <c r="L787" s="24"/>
      <c r="M787" s="24"/>
      <c r="O787" s="24"/>
      <c r="P787" s="24"/>
      <c r="Q787" s="24"/>
    </row>
    <row r="788" spans="12:17" x14ac:dyDescent="0.3">
      <c r="L788" s="24"/>
      <c r="M788" s="24"/>
      <c r="O788" s="24"/>
      <c r="P788" s="24"/>
      <c r="Q788" s="24"/>
    </row>
    <row r="789" spans="12:17" x14ac:dyDescent="0.3">
      <c r="L789" s="24"/>
      <c r="M789" s="24"/>
      <c r="O789" s="24"/>
      <c r="P789" s="24"/>
      <c r="Q789" s="24"/>
    </row>
    <row r="790" spans="12:17" x14ac:dyDescent="0.3">
      <c r="L790" s="24"/>
      <c r="M790" s="24"/>
      <c r="O790" s="24"/>
      <c r="P790" s="24"/>
      <c r="Q790" s="24"/>
    </row>
    <row r="791" spans="12:17" x14ac:dyDescent="0.3">
      <c r="L791" s="24"/>
      <c r="M791" s="24"/>
      <c r="O791" s="24"/>
      <c r="P791" s="24"/>
      <c r="Q791" s="24"/>
    </row>
    <row r="792" spans="12:17" x14ac:dyDescent="0.3">
      <c r="L792" s="24"/>
      <c r="M792" s="24"/>
      <c r="O792" s="24"/>
      <c r="P792" s="24"/>
      <c r="Q792" s="24"/>
    </row>
    <row r="793" spans="12:17" x14ac:dyDescent="0.3">
      <c r="L793" s="24"/>
      <c r="M793" s="24"/>
      <c r="O793" s="24"/>
      <c r="P793" s="24"/>
      <c r="Q793" s="24"/>
    </row>
    <row r="794" spans="12:17" x14ac:dyDescent="0.3">
      <c r="L794" s="24"/>
      <c r="M794" s="24"/>
      <c r="O794" s="24"/>
      <c r="P794" s="24"/>
      <c r="Q794" s="24"/>
    </row>
    <row r="795" spans="12:17" x14ac:dyDescent="0.3">
      <c r="L795" s="24"/>
      <c r="M795" s="24"/>
      <c r="O795" s="24"/>
      <c r="P795" s="24"/>
      <c r="Q795" s="24"/>
    </row>
    <row r="796" spans="12:17" x14ac:dyDescent="0.3">
      <c r="L796" s="24"/>
      <c r="M796" s="24"/>
      <c r="O796" s="24"/>
      <c r="P796" s="24"/>
      <c r="Q796" s="24"/>
    </row>
    <row r="797" spans="12:17" x14ac:dyDescent="0.3">
      <c r="L797" s="24"/>
      <c r="M797" s="24"/>
      <c r="O797" s="24"/>
      <c r="P797" s="24"/>
      <c r="Q797" s="24"/>
    </row>
    <row r="798" spans="12:17" x14ac:dyDescent="0.3">
      <c r="L798" s="24"/>
      <c r="M798" s="24"/>
      <c r="O798" s="24"/>
      <c r="P798" s="24"/>
      <c r="Q798" s="24"/>
    </row>
    <row r="799" spans="12:17" x14ac:dyDescent="0.3">
      <c r="L799" s="24"/>
      <c r="M799" s="24"/>
      <c r="O799" s="24"/>
      <c r="P799" s="24"/>
      <c r="Q799" s="24"/>
    </row>
    <row r="800" spans="12:17" x14ac:dyDescent="0.3">
      <c r="L800" s="24"/>
      <c r="M800" s="24"/>
      <c r="O800" s="24"/>
      <c r="P800" s="24"/>
      <c r="Q800" s="24"/>
    </row>
    <row r="801" spans="12:17" x14ac:dyDescent="0.3">
      <c r="L801" s="24"/>
      <c r="M801" s="24"/>
      <c r="O801" s="24"/>
      <c r="P801" s="24"/>
      <c r="Q801" s="24"/>
    </row>
    <row r="802" spans="12:17" x14ac:dyDescent="0.3">
      <c r="L802" s="24"/>
      <c r="M802" s="24"/>
      <c r="O802" s="24"/>
      <c r="P802" s="24"/>
      <c r="Q802" s="24"/>
    </row>
    <row r="803" spans="12:17" x14ac:dyDescent="0.3">
      <c r="L803" s="24"/>
      <c r="M803" s="24"/>
      <c r="O803" s="24"/>
      <c r="P803" s="24"/>
      <c r="Q803" s="24"/>
    </row>
    <row r="804" spans="12:17" x14ac:dyDescent="0.3">
      <c r="L804" s="24"/>
      <c r="M804" s="24"/>
      <c r="O804" s="24"/>
      <c r="P804" s="24"/>
      <c r="Q804" s="24"/>
    </row>
    <row r="805" spans="12:17" x14ac:dyDescent="0.3">
      <c r="L805" s="24"/>
      <c r="M805" s="24"/>
      <c r="O805" s="24"/>
      <c r="P805" s="24"/>
      <c r="Q805" s="24"/>
    </row>
    <row r="806" spans="12:17" x14ac:dyDescent="0.3">
      <c r="L806" s="24"/>
      <c r="M806" s="24"/>
      <c r="O806" s="24"/>
      <c r="P806" s="24"/>
      <c r="Q806" s="24"/>
    </row>
    <row r="807" spans="12:17" x14ac:dyDescent="0.3">
      <c r="L807" s="24"/>
      <c r="M807" s="24"/>
      <c r="O807" s="24"/>
      <c r="P807" s="24"/>
      <c r="Q807" s="24"/>
    </row>
    <row r="808" spans="12:17" x14ac:dyDescent="0.3">
      <c r="L808" s="24"/>
      <c r="M808" s="24"/>
      <c r="O808" s="24"/>
      <c r="P808" s="24"/>
      <c r="Q808" s="24"/>
    </row>
    <row r="809" spans="12:17" x14ac:dyDescent="0.3">
      <c r="L809" s="24"/>
      <c r="M809" s="24"/>
      <c r="O809" s="24"/>
      <c r="P809" s="24"/>
      <c r="Q809" s="24"/>
    </row>
    <row r="810" spans="12:17" x14ac:dyDescent="0.3">
      <c r="L810" s="24"/>
      <c r="M810" s="24"/>
      <c r="O810" s="24"/>
      <c r="P810" s="24"/>
      <c r="Q810" s="24"/>
    </row>
    <row r="811" spans="12:17" x14ac:dyDescent="0.3">
      <c r="L811" s="24"/>
      <c r="M811" s="24"/>
      <c r="O811" s="24"/>
      <c r="P811" s="24"/>
      <c r="Q811" s="24"/>
    </row>
    <row r="812" spans="12:17" x14ac:dyDescent="0.3">
      <c r="L812" s="24"/>
      <c r="M812" s="24"/>
      <c r="O812" s="24"/>
      <c r="P812" s="24"/>
      <c r="Q812" s="24"/>
    </row>
    <row r="813" spans="12:17" x14ac:dyDescent="0.3">
      <c r="L813" s="24"/>
      <c r="M813" s="24"/>
      <c r="O813" s="24"/>
      <c r="P813" s="24"/>
      <c r="Q813" s="24"/>
    </row>
    <row r="814" spans="12:17" x14ac:dyDescent="0.3">
      <c r="L814" s="24"/>
      <c r="M814" s="24"/>
      <c r="O814" s="24"/>
      <c r="P814" s="24"/>
      <c r="Q814" s="24"/>
    </row>
    <row r="815" spans="12:17" x14ac:dyDescent="0.3">
      <c r="L815" s="24"/>
      <c r="M815" s="24"/>
      <c r="O815" s="24"/>
      <c r="P815" s="24"/>
      <c r="Q815" s="24"/>
    </row>
    <row r="816" spans="12:17" x14ac:dyDescent="0.3">
      <c r="L816" s="24"/>
      <c r="M816" s="24"/>
      <c r="O816" s="24"/>
      <c r="P816" s="24"/>
      <c r="Q816" s="24"/>
    </row>
    <row r="817" spans="12:17" x14ac:dyDescent="0.3">
      <c r="L817" s="24"/>
      <c r="M817" s="24"/>
      <c r="O817" s="24"/>
      <c r="P817" s="24"/>
      <c r="Q817" s="24"/>
    </row>
    <row r="818" spans="12:17" x14ac:dyDescent="0.3">
      <c r="L818" s="24"/>
      <c r="M818" s="24"/>
      <c r="O818" s="24"/>
      <c r="P818" s="24"/>
      <c r="Q818" s="24"/>
    </row>
    <row r="819" spans="12:17" x14ac:dyDescent="0.3">
      <c r="L819" s="24"/>
      <c r="M819" s="24"/>
      <c r="O819" s="24"/>
      <c r="P819" s="24"/>
      <c r="Q819" s="24"/>
    </row>
    <row r="820" spans="12:17" x14ac:dyDescent="0.3">
      <c r="L820" s="24"/>
      <c r="M820" s="24"/>
      <c r="O820" s="24"/>
      <c r="P820" s="24"/>
      <c r="Q820" s="24"/>
    </row>
    <row r="821" spans="12:17" x14ac:dyDescent="0.3">
      <c r="L821" s="24"/>
      <c r="M821" s="24"/>
      <c r="O821" s="24"/>
      <c r="P821" s="24"/>
      <c r="Q821" s="24"/>
    </row>
    <row r="822" spans="12:17" x14ac:dyDescent="0.3">
      <c r="L822" s="24"/>
      <c r="M822" s="24"/>
      <c r="O822" s="24"/>
      <c r="P822" s="24"/>
      <c r="Q822" s="24"/>
    </row>
    <row r="823" spans="12:17" x14ac:dyDescent="0.3">
      <c r="L823" s="24"/>
      <c r="M823" s="24"/>
      <c r="O823" s="24"/>
      <c r="P823" s="24"/>
      <c r="Q823" s="24"/>
    </row>
    <row r="824" spans="12:17" x14ac:dyDescent="0.3">
      <c r="L824" s="24"/>
      <c r="M824" s="24"/>
      <c r="O824" s="24"/>
      <c r="P824" s="24"/>
      <c r="Q824" s="24"/>
    </row>
    <row r="825" spans="12:17" x14ac:dyDescent="0.3">
      <c r="L825" s="24"/>
      <c r="M825" s="24"/>
      <c r="O825" s="24"/>
      <c r="P825" s="24"/>
      <c r="Q825" s="24"/>
    </row>
    <row r="826" spans="12:17" x14ac:dyDescent="0.3">
      <c r="L826" s="24"/>
      <c r="M826" s="24"/>
      <c r="O826" s="24"/>
      <c r="P826" s="24"/>
      <c r="Q826" s="24"/>
    </row>
    <row r="827" spans="12:17" x14ac:dyDescent="0.3">
      <c r="L827" s="24"/>
      <c r="M827" s="24"/>
      <c r="O827" s="24"/>
      <c r="P827" s="24"/>
      <c r="Q827" s="24"/>
    </row>
    <row r="828" spans="12:17" x14ac:dyDescent="0.3">
      <c r="L828" s="24"/>
      <c r="M828" s="24"/>
      <c r="O828" s="24"/>
      <c r="P828" s="24"/>
      <c r="Q828" s="24"/>
    </row>
    <row r="829" spans="12:17" x14ac:dyDescent="0.3">
      <c r="L829" s="24"/>
      <c r="M829" s="24"/>
      <c r="O829" s="24"/>
      <c r="P829" s="24"/>
      <c r="Q829" s="24"/>
    </row>
    <row r="830" spans="12:17" x14ac:dyDescent="0.3">
      <c r="L830" s="24"/>
      <c r="M830" s="24"/>
      <c r="O830" s="24"/>
      <c r="P830" s="24"/>
      <c r="Q830" s="24"/>
    </row>
    <row r="831" spans="12:17" x14ac:dyDescent="0.3">
      <c r="L831" s="24"/>
      <c r="M831" s="24"/>
      <c r="O831" s="24"/>
      <c r="P831" s="24"/>
      <c r="Q831" s="24"/>
    </row>
    <row r="832" spans="12:17" x14ac:dyDescent="0.3">
      <c r="L832" s="24"/>
      <c r="M832" s="24"/>
      <c r="O832" s="24"/>
      <c r="P832" s="24"/>
      <c r="Q832" s="24"/>
    </row>
    <row r="833" spans="12:17" x14ac:dyDescent="0.3">
      <c r="L833" s="24"/>
      <c r="M833" s="24"/>
      <c r="O833" s="24"/>
      <c r="P833" s="24"/>
      <c r="Q833" s="24"/>
    </row>
    <row r="834" spans="12:17" x14ac:dyDescent="0.3">
      <c r="L834" s="24"/>
      <c r="M834" s="24"/>
      <c r="O834" s="24"/>
      <c r="P834" s="24"/>
      <c r="Q834" s="24"/>
    </row>
    <row r="835" spans="12:17" x14ac:dyDescent="0.3">
      <c r="L835" s="24"/>
      <c r="M835" s="24"/>
      <c r="O835" s="24"/>
      <c r="P835" s="24"/>
      <c r="Q835" s="24"/>
    </row>
    <row r="836" spans="12:17" x14ac:dyDescent="0.3">
      <c r="L836" s="24"/>
      <c r="M836" s="24"/>
      <c r="O836" s="24"/>
      <c r="P836" s="24"/>
      <c r="Q836" s="24"/>
    </row>
    <row r="837" spans="12:17" x14ac:dyDescent="0.3">
      <c r="L837" s="24"/>
      <c r="M837" s="24"/>
      <c r="O837" s="24"/>
      <c r="P837" s="24"/>
      <c r="Q837" s="24"/>
    </row>
    <row r="838" spans="12:17" x14ac:dyDescent="0.3">
      <c r="L838" s="24"/>
      <c r="M838" s="24"/>
      <c r="O838" s="24"/>
      <c r="P838" s="24"/>
      <c r="Q838" s="24"/>
    </row>
    <row r="839" spans="12:17" x14ac:dyDescent="0.3">
      <c r="L839" s="24"/>
      <c r="M839" s="24"/>
      <c r="O839" s="24"/>
      <c r="P839" s="24"/>
      <c r="Q839" s="24"/>
    </row>
    <row r="840" spans="12:17" x14ac:dyDescent="0.3">
      <c r="L840" s="24"/>
      <c r="M840" s="24"/>
      <c r="O840" s="24"/>
      <c r="P840" s="24"/>
      <c r="Q840" s="24"/>
    </row>
    <row r="841" spans="12:17" x14ac:dyDescent="0.3">
      <c r="L841" s="24"/>
      <c r="M841" s="24"/>
      <c r="O841" s="24"/>
      <c r="P841" s="24"/>
      <c r="Q841" s="24"/>
    </row>
    <row r="842" spans="12:17" x14ac:dyDescent="0.3">
      <c r="L842" s="24"/>
      <c r="M842" s="24"/>
      <c r="O842" s="24"/>
      <c r="P842" s="24"/>
      <c r="Q842" s="24"/>
    </row>
    <row r="843" spans="12:17" x14ac:dyDescent="0.3">
      <c r="L843" s="24"/>
      <c r="M843" s="24"/>
      <c r="O843" s="24"/>
      <c r="P843" s="24"/>
      <c r="Q843" s="24"/>
    </row>
    <row r="844" spans="12:17" x14ac:dyDescent="0.3">
      <c r="L844" s="24"/>
      <c r="M844" s="24"/>
      <c r="O844" s="24"/>
      <c r="P844" s="24"/>
      <c r="Q844" s="24"/>
    </row>
    <row r="845" spans="12:17" x14ac:dyDescent="0.3">
      <c r="L845" s="24"/>
      <c r="M845" s="24"/>
      <c r="O845" s="24"/>
      <c r="P845" s="24"/>
      <c r="Q845" s="24"/>
    </row>
    <row r="846" spans="12:17" x14ac:dyDescent="0.3">
      <c r="L846" s="24"/>
      <c r="M846" s="24"/>
      <c r="O846" s="24"/>
      <c r="P846" s="24"/>
      <c r="Q846" s="24"/>
    </row>
    <row r="847" spans="12:17" x14ac:dyDescent="0.3">
      <c r="L847" s="24"/>
      <c r="M847" s="24"/>
      <c r="O847" s="24"/>
      <c r="P847" s="24"/>
      <c r="Q847" s="24"/>
    </row>
    <row r="848" spans="12:17" x14ac:dyDescent="0.3">
      <c r="L848" s="24"/>
      <c r="M848" s="24"/>
      <c r="O848" s="24"/>
      <c r="P848" s="24"/>
      <c r="Q848" s="24"/>
    </row>
    <row r="849" spans="12:17" x14ac:dyDescent="0.3">
      <c r="L849" s="24"/>
      <c r="M849" s="24"/>
      <c r="O849" s="24"/>
      <c r="P849" s="24"/>
      <c r="Q849" s="24"/>
    </row>
    <row r="850" spans="12:17" x14ac:dyDescent="0.3">
      <c r="L850" s="24"/>
      <c r="M850" s="24"/>
      <c r="O850" s="24"/>
      <c r="P850" s="24"/>
      <c r="Q850" s="24"/>
    </row>
    <row r="851" spans="12:17" x14ac:dyDescent="0.3">
      <c r="L851" s="24"/>
      <c r="M851" s="24"/>
      <c r="O851" s="24"/>
      <c r="P851" s="24"/>
      <c r="Q851" s="24"/>
    </row>
    <row r="852" spans="12:17" x14ac:dyDescent="0.3">
      <c r="L852" s="24"/>
      <c r="M852" s="24"/>
      <c r="O852" s="24"/>
      <c r="P852" s="24"/>
      <c r="Q852" s="24"/>
    </row>
    <row r="853" spans="12:17" x14ac:dyDescent="0.3">
      <c r="L853" s="24"/>
      <c r="M853" s="24"/>
      <c r="O853" s="24"/>
      <c r="P853" s="24"/>
      <c r="Q853" s="24"/>
    </row>
    <row r="854" spans="12:17" x14ac:dyDescent="0.3">
      <c r="L854" s="24"/>
      <c r="M854" s="24"/>
      <c r="O854" s="24"/>
      <c r="P854" s="24"/>
      <c r="Q854" s="24"/>
    </row>
    <row r="855" spans="12:17" x14ac:dyDescent="0.3">
      <c r="L855" s="24"/>
      <c r="M855" s="24"/>
      <c r="O855" s="24"/>
      <c r="P855" s="24"/>
      <c r="Q855" s="24"/>
    </row>
    <row r="856" spans="12:17" x14ac:dyDescent="0.3">
      <c r="L856" s="24"/>
      <c r="M856" s="24"/>
      <c r="O856" s="24"/>
      <c r="P856" s="24"/>
      <c r="Q856" s="24"/>
    </row>
    <row r="857" spans="12:17" x14ac:dyDescent="0.3">
      <c r="L857" s="24"/>
      <c r="M857" s="24"/>
      <c r="O857" s="24"/>
      <c r="P857" s="24"/>
      <c r="Q857" s="24"/>
    </row>
    <row r="858" spans="12:17" x14ac:dyDescent="0.3">
      <c r="L858" s="24"/>
      <c r="M858" s="24"/>
      <c r="O858" s="24"/>
      <c r="P858" s="24"/>
      <c r="Q858" s="24"/>
    </row>
    <row r="859" spans="12:17" x14ac:dyDescent="0.3">
      <c r="L859" s="24"/>
      <c r="M859" s="24"/>
      <c r="O859" s="24"/>
      <c r="P859" s="24"/>
      <c r="Q859" s="24"/>
    </row>
    <row r="860" spans="12:17" x14ac:dyDescent="0.3">
      <c r="L860" s="24"/>
      <c r="M860" s="24"/>
      <c r="O860" s="24"/>
      <c r="P860" s="24"/>
      <c r="Q860" s="24"/>
    </row>
    <row r="861" spans="12:17" x14ac:dyDescent="0.3">
      <c r="L861" s="24"/>
      <c r="M861" s="24"/>
      <c r="O861" s="24"/>
      <c r="P861" s="24"/>
      <c r="Q861" s="24"/>
    </row>
    <row r="862" spans="12:17" x14ac:dyDescent="0.3">
      <c r="L862" s="24"/>
      <c r="M862" s="24"/>
      <c r="O862" s="24"/>
      <c r="P862" s="24"/>
      <c r="Q862" s="24"/>
    </row>
    <row r="863" spans="12:17" x14ac:dyDescent="0.3">
      <c r="L863" s="24"/>
      <c r="M863" s="24"/>
      <c r="O863" s="24"/>
      <c r="P863" s="24"/>
      <c r="Q863" s="24"/>
    </row>
    <row r="864" spans="12:17" x14ac:dyDescent="0.3">
      <c r="L864" s="24"/>
      <c r="M864" s="24"/>
      <c r="O864" s="24"/>
      <c r="P864" s="24"/>
      <c r="Q864" s="24"/>
    </row>
    <row r="865" spans="12:17" x14ac:dyDescent="0.3">
      <c r="L865" s="24"/>
      <c r="M865" s="24"/>
      <c r="O865" s="24"/>
      <c r="P865" s="24"/>
      <c r="Q865" s="24"/>
    </row>
    <row r="866" spans="12:17" x14ac:dyDescent="0.3">
      <c r="L866" s="24"/>
      <c r="M866" s="24"/>
      <c r="O866" s="24"/>
      <c r="P866" s="24"/>
      <c r="Q866" s="24"/>
    </row>
    <row r="867" spans="12:17" x14ac:dyDescent="0.3">
      <c r="L867" s="24"/>
      <c r="M867" s="24"/>
      <c r="O867" s="24"/>
      <c r="P867" s="24"/>
      <c r="Q867" s="24"/>
    </row>
    <row r="868" spans="12:17" x14ac:dyDescent="0.3">
      <c r="L868" s="24"/>
      <c r="M868" s="24"/>
      <c r="O868" s="24"/>
      <c r="P868" s="24"/>
      <c r="Q868" s="24"/>
    </row>
    <row r="869" spans="12:17" x14ac:dyDescent="0.3">
      <c r="L869" s="24"/>
      <c r="M869" s="24"/>
      <c r="O869" s="24"/>
      <c r="P869" s="24"/>
      <c r="Q869" s="24"/>
    </row>
    <row r="870" spans="12:17" x14ac:dyDescent="0.3">
      <c r="L870" s="24"/>
      <c r="M870" s="24"/>
      <c r="O870" s="24"/>
      <c r="P870" s="24"/>
      <c r="Q870" s="24"/>
    </row>
    <row r="871" spans="12:17" x14ac:dyDescent="0.3">
      <c r="L871" s="24"/>
      <c r="M871" s="24"/>
      <c r="O871" s="24"/>
      <c r="P871" s="24"/>
      <c r="Q871" s="24"/>
    </row>
    <row r="872" spans="12:17" x14ac:dyDescent="0.3">
      <c r="L872" s="24"/>
      <c r="M872" s="24"/>
      <c r="O872" s="24"/>
      <c r="P872" s="24"/>
      <c r="Q872" s="24"/>
    </row>
    <row r="873" spans="12:17" x14ac:dyDescent="0.3">
      <c r="L873" s="24"/>
      <c r="M873" s="24"/>
      <c r="O873" s="24"/>
      <c r="P873" s="24"/>
      <c r="Q873" s="24"/>
    </row>
    <row r="874" spans="12:17" x14ac:dyDescent="0.3">
      <c r="L874" s="24"/>
      <c r="M874" s="24"/>
      <c r="O874" s="24"/>
      <c r="P874" s="24"/>
      <c r="Q874" s="24"/>
    </row>
    <row r="875" spans="12:17" x14ac:dyDescent="0.3">
      <c r="L875" s="24"/>
      <c r="M875" s="24"/>
      <c r="O875" s="24"/>
      <c r="P875" s="24"/>
      <c r="Q875" s="24"/>
    </row>
    <row r="876" spans="12:17" x14ac:dyDescent="0.3">
      <c r="L876" s="24"/>
      <c r="M876" s="24"/>
      <c r="O876" s="24"/>
      <c r="P876" s="24"/>
      <c r="Q876" s="24"/>
    </row>
    <row r="877" spans="12:17" x14ac:dyDescent="0.3">
      <c r="L877" s="24"/>
      <c r="M877" s="24"/>
      <c r="O877" s="24"/>
      <c r="P877" s="24"/>
      <c r="Q877" s="24"/>
    </row>
    <row r="878" spans="12:17" x14ac:dyDescent="0.3">
      <c r="L878" s="24"/>
      <c r="M878" s="24"/>
      <c r="O878" s="24"/>
      <c r="P878" s="24"/>
      <c r="Q878" s="24"/>
    </row>
    <row r="879" spans="12:17" x14ac:dyDescent="0.3">
      <c r="L879" s="24"/>
      <c r="M879" s="24"/>
      <c r="O879" s="24"/>
      <c r="P879" s="24"/>
      <c r="Q879" s="24"/>
    </row>
    <row r="880" spans="12:17" x14ac:dyDescent="0.3">
      <c r="L880" s="24"/>
      <c r="M880" s="24"/>
      <c r="O880" s="24"/>
      <c r="P880" s="24"/>
      <c r="Q880" s="24"/>
    </row>
    <row r="881" spans="12:17" x14ac:dyDescent="0.3">
      <c r="L881" s="24"/>
      <c r="M881" s="24"/>
      <c r="O881" s="24"/>
      <c r="P881" s="24"/>
      <c r="Q881" s="24"/>
    </row>
    <row r="882" spans="12:17" x14ac:dyDescent="0.3">
      <c r="L882" s="24"/>
      <c r="M882" s="24"/>
      <c r="O882" s="24"/>
      <c r="P882" s="24"/>
      <c r="Q882" s="24"/>
    </row>
    <row r="883" spans="12:17" x14ac:dyDescent="0.3">
      <c r="L883" s="24"/>
      <c r="M883" s="24"/>
      <c r="O883" s="24"/>
      <c r="P883" s="24"/>
      <c r="Q883" s="24"/>
    </row>
    <row r="884" spans="12:17" x14ac:dyDescent="0.3">
      <c r="L884" s="24"/>
      <c r="M884" s="24"/>
      <c r="O884" s="24"/>
      <c r="P884" s="24"/>
      <c r="Q884" s="24"/>
    </row>
    <row r="885" spans="12:17" x14ac:dyDescent="0.3">
      <c r="L885" s="24"/>
      <c r="M885" s="24"/>
      <c r="O885" s="24"/>
      <c r="P885" s="24"/>
      <c r="Q885" s="24"/>
    </row>
    <row r="886" spans="12:17" x14ac:dyDescent="0.3">
      <c r="L886" s="24"/>
      <c r="M886" s="24"/>
      <c r="O886" s="24"/>
      <c r="P886" s="24"/>
      <c r="Q886" s="24"/>
    </row>
    <row r="887" spans="12:17" x14ac:dyDescent="0.3">
      <c r="L887" s="24"/>
      <c r="M887" s="24"/>
      <c r="O887" s="24"/>
      <c r="P887" s="24"/>
      <c r="Q887" s="24"/>
    </row>
    <row r="888" spans="12:17" x14ac:dyDescent="0.3">
      <c r="L888" s="24"/>
      <c r="M888" s="24"/>
      <c r="O888" s="24"/>
      <c r="P888" s="24"/>
      <c r="Q888" s="24"/>
    </row>
    <row r="889" spans="12:17" x14ac:dyDescent="0.3">
      <c r="L889" s="24"/>
      <c r="M889" s="24"/>
      <c r="O889" s="24"/>
      <c r="P889" s="24"/>
      <c r="Q889" s="24"/>
    </row>
    <row r="890" spans="12:17" x14ac:dyDescent="0.3">
      <c r="L890" s="24"/>
      <c r="M890" s="24"/>
      <c r="O890" s="24"/>
      <c r="P890" s="24"/>
      <c r="Q890" s="24"/>
    </row>
    <row r="891" spans="12:17" x14ac:dyDescent="0.3">
      <c r="L891" s="24"/>
      <c r="M891" s="24"/>
      <c r="O891" s="24"/>
      <c r="P891" s="24"/>
      <c r="Q891" s="24"/>
    </row>
    <row r="892" spans="12:17" x14ac:dyDescent="0.3">
      <c r="L892" s="24"/>
      <c r="M892" s="24"/>
      <c r="O892" s="24"/>
      <c r="P892" s="24"/>
      <c r="Q892" s="24"/>
    </row>
    <row r="893" spans="12:17" x14ac:dyDescent="0.3">
      <c r="L893" s="24"/>
      <c r="M893" s="24"/>
      <c r="O893" s="24"/>
      <c r="P893" s="24"/>
      <c r="Q893" s="24"/>
    </row>
    <row r="894" spans="12:17" x14ac:dyDescent="0.3">
      <c r="L894" s="24"/>
      <c r="M894" s="24"/>
      <c r="O894" s="24"/>
      <c r="P894" s="24"/>
      <c r="Q894" s="24"/>
    </row>
    <row r="895" spans="12:17" x14ac:dyDescent="0.3">
      <c r="L895" s="24"/>
      <c r="M895" s="24"/>
      <c r="O895" s="24"/>
      <c r="P895" s="24"/>
      <c r="Q895" s="24"/>
    </row>
    <row r="896" spans="12:17" x14ac:dyDescent="0.3">
      <c r="L896" s="24"/>
      <c r="M896" s="24"/>
      <c r="O896" s="24"/>
      <c r="P896" s="24"/>
      <c r="Q896" s="24"/>
    </row>
    <row r="897" spans="12:17" x14ac:dyDescent="0.3">
      <c r="L897" s="24"/>
      <c r="M897" s="24"/>
      <c r="O897" s="24"/>
      <c r="P897" s="24"/>
      <c r="Q897" s="24"/>
    </row>
    <row r="898" spans="12:17" x14ac:dyDescent="0.3">
      <c r="L898" s="24"/>
      <c r="M898" s="24"/>
      <c r="O898" s="24"/>
      <c r="P898" s="24"/>
      <c r="Q898" s="24"/>
    </row>
    <row r="899" spans="12:17" x14ac:dyDescent="0.3">
      <c r="L899" s="24"/>
      <c r="M899" s="24"/>
      <c r="O899" s="24"/>
      <c r="P899" s="24"/>
      <c r="Q899" s="24"/>
    </row>
    <row r="900" spans="12:17" x14ac:dyDescent="0.3">
      <c r="L900" s="24"/>
      <c r="M900" s="24"/>
      <c r="O900" s="24"/>
      <c r="P900" s="24"/>
      <c r="Q900" s="24"/>
    </row>
    <row r="901" spans="12:17" x14ac:dyDescent="0.3">
      <c r="L901" s="24"/>
      <c r="M901" s="24"/>
      <c r="O901" s="24"/>
      <c r="P901" s="24"/>
      <c r="Q901" s="24"/>
    </row>
    <row r="902" spans="12:17" x14ac:dyDescent="0.3">
      <c r="L902" s="24"/>
      <c r="M902" s="24"/>
      <c r="O902" s="24"/>
      <c r="P902" s="24"/>
      <c r="Q902" s="24"/>
    </row>
    <row r="903" spans="12:17" x14ac:dyDescent="0.3">
      <c r="L903" s="24"/>
      <c r="M903" s="24"/>
      <c r="O903" s="24"/>
      <c r="P903" s="24"/>
      <c r="Q903" s="24"/>
    </row>
    <row r="904" spans="12:17" x14ac:dyDescent="0.3">
      <c r="L904" s="24"/>
      <c r="M904" s="24"/>
      <c r="O904" s="24"/>
      <c r="P904" s="24"/>
      <c r="Q904" s="24"/>
    </row>
    <row r="905" spans="12:17" x14ac:dyDescent="0.3">
      <c r="L905" s="24"/>
      <c r="M905" s="24"/>
      <c r="O905" s="24"/>
      <c r="P905" s="24"/>
      <c r="Q905" s="24"/>
    </row>
    <row r="906" spans="12:17" x14ac:dyDescent="0.3">
      <c r="L906" s="24"/>
      <c r="M906" s="24"/>
      <c r="O906" s="24"/>
      <c r="P906" s="24"/>
      <c r="Q906" s="24"/>
    </row>
    <row r="907" spans="12:17" x14ac:dyDescent="0.3">
      <c r="L907" s="24"/>
      <c r="M907" s="24"/>
      <c r="O907" s="24"/>
      <c r="P907" s="24"/>
      <c r="Q907" s="24"/>
    </row>
    <row r="908" spans="12:17" x14ac:dyDescent="0.3">
      <c r="L908" s="24"/>
      <c r="M908" s="24"/>
      <c r="O908" s="24"/>
      <c r="P908" s="24"/>
      <c r="Q908" s="24"/>
    </row>
    <row r="909" spans="12:17" x14ac:dyDescent="0.3">
      <c r="L909" s="24"/>
      <c r="M909" s="24"/>
      <c r="O909" s="24"/>
      <c r="P909" s="24"/>
      <c r="Q909" s="24"/>
    </row>
    <row r="910" spans="12:17" x14ac:dyDescent="0.3">
      <c r="L910" s="24"/>
      <c r="M910" s="24"/>
      <c r="O910" s="24"/>
      <c r="P910" s="24"/>
      <c r="Q910" s="24"/>
    </row>
    <row r="911" spans="12:17" x14ac:dyDescent="0.3">
      <c r="L911" s="24"/>
      <c r="M911" s="24"/>
      <c r="O911" s="24"/>
      <c r="P911" s="24"/>
      <c r="Q911" s="24"/>
    </row>
    <row r="912" spans="12:17" x14ac:dyDescent="0.3">
      <c r="L912" s="24"/>
      <c r="M912" s="24"/>
      <c r="O912" s="24"/>
      <c r="P912" s="24"/>
      <c r="Q912" s="24"/>
    </row>
    <row r="913" spans="12:17" x14ac:dyDescent="0.3">
      <c r="L913" s="24"/>
      <c r="M913" s="24"/>
      <c r="O913" s="24"/>
      <c r="P913" s="24"/>
      <c r="Q913" s="24"/>
    </row>
    <row r="914" spans="12:17" x14ac:dyDescent="0.3">
      <c r="L914" s="24"/>
      <c r="M914" s="24"/>
      <c r="O914" s="24"/>
      <c r="P914" s="24"/>
      <c r="Q914" s="24"/>
    </row>
    <row r="915" spans="12:17" x14ac:dyDescent="0.3">
      <c r="L915" s="24"/>
      <c r="M915" s="24"/>
      <c r="O915" s="24"/>
      <c r="P915" s="24"/>
      <c r="Q915" s="24"/>
    </row>
    <row r="916" spans="12:17" x14ac:dyDescent="0.3">
      <c r="L916" s="24"/>
      <c r="M916" s="24"/>
      <c r="O916" s="24"/>
      <c r="P916" s="24"/>
      <c r="Q916" s="24"/>
    </row>
    <row r="917" spans="12:17" x14ac:dyDescent="0.3">
      <c r="L917" s="24"/>
      <c r="M917" s="24"/>
      <c r="O917" s="24"/>
      <c r="P917" s="24"/>
      <c r="Q917" s="24"/>
    </row>
    <row r="918" spans="12:17" x14ac:dyDescent="0.3">
      <c r="L918" s="24"/>
      <c r="M918" s="24"/>
      <c r="O918" s="24"/>
      <c r="P918" s="24"/>
      <c r="Q918" s="24"/>
    </row>
    <row r="919" spans="12:17" x14ac:dyDescent="0.3">
      <c r="L919" s="24"/>
      <c r="M919" s="24"/>
      <c r="O919" s="24"/>
      <c r="P919" s="24"/>
      <c r="Q919" s="24"/>
    </row>
    <row r="920" spans="12:17" x14ac:dyDescent="0.3">
      <c r="L920" s="24"/>
      <c r="M920" s="24"/>
      <c r="O920" s="24"/>
      <c r="P920" s="24"/>
      <c r="Q920" s="24"/>
    </row>
    <row r="921" spans="12:17" x14ac:dyDescent="0.3">
      <c r="L921" s="24"/>
      <c r="M921" s="24"/>
      <c r="O921" s="24"/>
      <c r="P921" s="24"/>
      <c r="Q921" s="24"/>
    </row>
    <row r="922" spans="12:17" x14ac:dyDescent="0.3">
      <c r="L922" s="24"/>
      <c r="M922" s="24"/>
      <c r="O922" s="24"/>
      <c r="P922" s="24"/>
      <c r="Q922" s="24"/>
    </row>
    <row r="923" spans="12:17" x14ac:dyDescent="0.3">
      <c r="L923" s="24"/>
      <c r="M923" s="24"/>
      <c r="O923" s="24"/>
      <c r="P923" s="24"/>
      <c r="Q923" s="24"/>
    </row>
    <row r="924" spans="12:17" x14ac:dyDescent="0.3">
      <c r="L924" s="24"/>
      <c r="M924" s="24"/>
      <c r="O924" s="24"/>
      <c r="P924" s="24"/>
      <c r="Q924" s="24"/>
    </row>
    <row r="925" spans="12:17" x14ac:dyDescent="0.3">
      <c r="L925" s="24"/>
      <c r="M925" s="24"/>
      <c r="O925" s="24"/>
      <c r="P925" s="24"/>
      <c r="Q925" s="24"/>
    </row>
    <row r="926" spans="12:17" x14ac:dyDescent="0.3">
      <c r="L926" s="24"/>
      <c r="M926" s="24"/>
      <c r="O926" s="24"/>
      <c r="P926" s="24"/>
      <c r="Q926" s="24"/>
    </row>
    <row r="927" spans="12:17" x14ac:dyDescent="0.3">
      <c r="L927" s="24"/>
      <c r="M927" s="24"/>
      <c r="O927" s="24"/>
      <c r="P927" s="24"/>
      <c r="Q927" s="24"/>
    </row>
    <row r="928" spans="12:17" x14ac:dyDescent="0.3">
      <c r="L928" s="24"/>
      <c r="M928" s="24"/>
      <c r="O928" s="24"/>
      <c r="P928" s="24"/>
      <c r="Q928" s="24"/>
    </row>
    <row r="929" spans="12:17" x14ac:dyDescent="0.3">
      <c r="L929" s="24"/>
      <c r="M929" s="24"/>
      <c r="O929" s="24"/>
      <c r="P929" s="24"/>
      <c r="Q929" s="24"/>
    </row>
    <row r="930" spans="12:17" x14ac:dyDescent="0.3">
      <c r="L930" s="24"/>
      <c r="M930" s="24"/>
      <c r="O930" s="24"/>
      <c r="P930" s="24"/>
      <c r="Q930" s="24"/>
    </row>
    <row r="931" spans="12:17" x14ac:dyDescent="0.3">
      <c r="L931" s="24"/>
      <c r="M931" s="24"/>
      <c r="O931" s="24"/>
      <c r="P931" s="24"/>
      <c r="Q931" s="24"/>
    </row>
    <row r="932" spans="12:17" x14ac:dyDescent="0.3">
      <c r="L932" s="24"/>
      <c r="M932" s="24"/>
      <c r="O932" s="24"/>
      <c r="P932" s="24"/>
      <c r="Q932" s="24"/>
    </row>
    <row r="933" spans="12:17" x14ac:dyDescent="0.3">
      <c r="L933" s="24"/>
      <c r="M933" s="24"/>
      <c r="O933" s="24"/>
      <c r="P933" s="24"/>
      <c r="Q933" s="24"/>
    </row>
    <row r="934" spans="12:17" x14ac:dyDescent="0.3">
      <c r="L934" s="24"/>
      <c r="M934" s="24"/>
      <c r="O934" s="24"/>
      <c r="P934" s="24"/>
      <c r="Q934" s="24"/>
    </row>
    <row r="935" spans="12:17" x14ac:dyDescent="0.3">
      <c r="L935" s="24"/>
      <c r="M935" s="24"/>
      <c r="O935" s="24"/>
      <c r="P935" s="24"/>
      <c r="Q935" s="24"/>
    </row>
    <row r="936" spans="12:17" x14ac:dyDescent="0.3">
      <c r="L936" s="24"/>
      <c r="M936" s="24"/>
      <c r="O936" s="24"/>
      <c r="P936" s="24"/>
      <c r="Q936" s="24"/>
    </row>
    <row r="937" spans="12:17" x14ac:dyDescent="0.3">
      <c r="L937" s="24"/>
      <c r="M937" s="24"/>
      <c r="O937" s="24"/>
      <c r="P937" s="24"/>
      <c r="Q937" s="24"/>
    </row>
    <row r="938" spans="12:17" x14ac:dyDescent="0.3">
      <c r="L938" s="24"/>
      <c r="M938" s="24"/>
      <c r="O938" s="24"/>
      <c r="P938" s="24"/>
      <c r="Q938" s="24"/>
    </row>
    <row r="939" spans="12:17" x14ac:dyDescent="0.3">
      <c r="L939" s="24"/>
      <c r="M939" s="24"/>
      <c r="O939" s="24"/>
      <c r="P939" s="24"/>
      <c r="Q939" s="24"/>
    </row>
    <row r="940" spans="12:17" x14ac:dyDescent="0.3">
      <c r="L940" s="24"/>
      <c r="M940" s="24"/>
      <c r="O940" s="24"/>
      <c r="P940" s="24"/>
      <c r="Q940" s="24"/>
    </row>
    <row r="941" spans="12:17" x14ac:dyDescent="0.3">
      <c r="L941" s="24"/>
      <c r="M941" s="24"/>
      <c r="O941" s="24"/>
      <c r="P941" s="24"/>
      <c r="Q941" s="24"/>
    </row>
    <row r="942" spans="12:17" x14ac:dyDescent="0.3">
      <c r="L942" s="24"/>
      <c r="M942" s="24"/>
      <c r="O942" s="24"/>
      <c r="P942" s="24"/>
      <c r="Q942" s="24"/>
    </row>
    <row r="943" spans="12:17" x14ac:dyDescent="0.3">
      <c r="L943" s="24"/>
      <c r="M943" s="24"/>
      <c r="O943" s="24"/>
      <c r="P943" s="24"/>
      <c r="Q943" s="24"/>
    </row>
    <row r="944" spans="12:17" x14ac:dyDescent="0.3">
      <c r="L944" s="24"/>
      <c r="M944" s="24"/>
      <c r="O944" s="24"/>
      <c r="P944" s="24"/>
      <c r="Q944" s="24"/>
    </row>
    <row r="945" spans="12:17" x14ac:dyDescent="0.3">
      <c r="L945" s="24"/>
      <c r="M945" s="24"/>
      <c r="O945" s="24"/>
      <c r="P945" s="24"/>
      <c r="Q945" s="24"/>
    </row>
    <row r="946" spans="12:17" x14ac:dyDescent="0.3">
      <c r="L946" s="24"/>
      <c r="M946" s="24"/>
      <c r="O946" s="24"/>
      <c r="P946" s="24"/>
      <c r="Q946" s="24"/>
    </row>
    <row r="947" spans="12:17" x14ac:dyDescent="0.3">
      <c r="L947" s="24"/>
      <c r="M947" s="24"/>
      <c r="O947" s="24"/>
      <c r="P947" s="24"/>
      <c r="Q947" s="24"/>
    </row>
    <row r="948" spans="12:17" x14ac:dyDescent="0.3">
      <c r="L948" s="24"/>
      <c r="M948" s="24"/>
      <c r="O948" s="24"/>
      <c r="P948" s="24"/>
      <c r="Q948" s="24"/>
    </row>
    <row r="949" spans="12:17" x14ac:dyDescent="0.3">
      <c r="L949" s="24"/>
      <c r="M949" s="24"/>
      <c r="O949" s="24"/>
      <c r="P949" s="24"/>
      <c r="Q949" s="24"/>
    </row>
    <row r="950" spans="12:17" x14ac:dyDescent="0.3">
      <c r="L950" s="24"/>
      <c r="M950" s="24"/>
      <c r="O950" s="24"/>
      <c r="P950" s="24"/>
      <c r="Q950" s="24"/>
    </row>
    <row r="951" spans="12:17" x14ac:dyDescent="0.3">
      <c r="L951" s="24"/>
      <c r="M951" s="24"/>
      <c r="O951" s="24"/>
      <c r="P951" s="24"/>
      <c r="Q951" s="24"/>
    </row>
    <row r="952" spans="12:17" x14ac:dyDescent="0.3">
      <c r="L952" s="24"/>
      <c r="M952" s="24"/>
      <c r="O952" s="24"/>
      <c r="P952" s="24"/>
      <c r="Q952" s="24"/>
    </row>
    <row r="953" spans="12:17" x14ac:dyDescent="0.3">
      <c r="L953" s="24"/>
      <c r="M953" s="24"/>
      <c r="O953" s="24"/>
      <c r="P953" s="24"/>
      <c r="Q953" s="24"/>
    </row>
    <row r="954" spans="12:17" x14ac:dyDescent="0.3">
      <c r="L954" s="24"/>
      <c r="M954" s="24"/>
      <c r="O954" s="24"/>
      <c r="P954" s="24"/>
      <c r="Q954" s="24"/>
    </row>
    <row r="955" spans="12:17" x14ac:dyDescent="0.3">
      <c r="L955" s="24"/>
      <c r="M955" s="24"/>
      <c r="O955" s="24"/>
      <c r="P955" s="24"/>
      <c r="Q955" s="24"/>
    </row>
    <row r="956" spans="12:17" x14ac:dyDescent="0.3">
      <c r="L956" s="24"/>
      <c r="M956" s="24"/>
      <c r="O956" s="24"/>
      <c r="P956" s="24"/>
      <c r="Q956" s="24"/>
    </row>
    <row r="957" spans="12:17" x14ac:dyDescent="0.3">
      <c r="L957" s="24"/>
      <c r="M957" s="24"/>
      <c r="O957" s="24"/>
      <c r="P957" s="24"/>
      <c r="Q957" s="24"/>
    </row>
    <row r="958" spans="12:17" x14ac:dyDescent="0.3">
      <c r="O958" s="24"/>
      <c r="P958" s="24"/>
      <c r="Q958" s="24"/>
    </row>
    <row r="959" spans="12:17" x14ac:dyDescent="0.3">
      <c r="O959" s="24"/>
      <c r="P959" s="24"/>
      <c r="Q959" s="24"/>
    </row>
    <row r="960" spans="12:17" x14ac:dyDescent="0.3">
      <c r="O960" s="24"/>
      <c r="P960" s="24"/>
      <c r="Q960" s="24"/>
    </row>
    <row r="961" spans="15:17" x14ac:dyDescent="0.3">
      <c r="O961" s="24"/>
      <c r="P961" s="24"/>
      <c r="Q961" s="24"/>
    </row>
    <row r="962" spans="15:17" x14ac:dyDescent="0.3">
      <c r="O962" s="24"/>
      <c r="P962" s="24"/>
      <c r="Q962" s="24"/>
    </row>
    <row r="963" spans="15:17" x14ac:dyDescent="0.3">
      <c r="O963" s="24"/>
      <c r="P963" s="24"/>
      <c r="Q963" s="24"/>
    </row>
    <row r="964" spans="15:17" x14ac:dyDescent="0.3">
      <c r="O964" s="24"/>
      <c r="P964" s="24"/>
      <c r="Q964" s="24"/>
    </row>
    <row r="965" spans="15:17" x14ac:dyDescent="0.3">
      <c r="O965" s="24"/>
      <c r="P965" s="24"/>
      <c r="Q965" s="24"/>
    </row>
    <row r="966" spans="15:17" x14ac:dyDescent="0.3">
      <c r="O966" s="24"/>
      <c r="P966" s="24"/>
      <c r="Q966" s="24"/>
    </row>
    <row r="967" spans="15:17" x14ac:dyDescent="0.3">
      <c r="O967" s="24"/>
      <c r="P967" s="24"/>
      <c r="Q967" s="24"/>
    </row>
    <row r="968" spans="15:17" x14ac:dyDescent="0.3">
      <c r="O968" s="24"/>
      <c r="P968" s="24"/>
      <c r="Q968" s="24"/>
    </row>
    <row r="969" spans="15:17" x14ac:dyDescent="0.3">
      <c r="O969" s="24"/>
      <c r="P969" s="24"/>
      <c r="Q969" s="24"/>
    </row>
    <row r="970" spans="15:17" x14ac:dyDescent="0.3">
      <c r="O970" s="24"/>
      <c r="P970" s="24"/>
      <c r="Q970" s="24"/>
    </row>
    <row r="971" spans="15:17" x14ac:dyDescent="0.3">
      <c r="O971" s="24"/>
      <c r="P971" s="24"/>
      <c r="Q971" s="24"/>
    </row>
    <row r="972" spans="15:17" x14ac:dyDescent="0.3">
      <c r="O972" s="24"/>
      <c r="P972" s="24"/>
      <c r="Q972" s="24"/>
    </row>
    <row r="973" spans="15:17" x14ac:dyDescent="0.3">
      <c r="O973" s="24"/>
      <c r="P973" s="24"/>
      <c r="Q973" s="24"/>
    </row>
    <row r="974" spans="15:17" x14ac:dyDescent="0.3">
      <c r="O974" s="24"/>
      <c r="P974" s="24"/>
      <c r="Q974" s="24"/>
    </row>
    <row r="975" spans="15:17" x14ac:dyDescent="0.3">
      <c r="O975" s="24"/>
      <c r="P975" s="24"/>
      <c r="Q975" s="24"/>
    </row>
    <row r="976" spans="15:17" x14ac:dyDescent="0.3">
      <c r="O976" s="24"/>
      <c r="P976" s="24"/>
      <c r="Q976" s="24"/>
    </row>
    <row r="977" spans="15:17" x14ac:dyDescent="0.3">
      <c r="O977" s="24"/>
      <c r="P977" s="24"/>
      <c r="Q977" s="24"/>
    </row>
    <row r="978" spans="15:17" x14ac:dyDescent="0.3">
      <c r="O978" s="24"/>
      <c r="P978" s="24"/>
      <c r="Q978" s="24"/>
    </row>
    <row r="979" spans="15:17" x14ac:dyDescent="0.3">
      <c r="O979" s="24"/>
      <c r="P979" s="24"/>
      <c r="Q979" s="24"/>
    </row>
    <row r="980" spans="15:17" x14ac:dyDescent="0.3">
      <c r="O980" s="24"/>
      <c r="P980" s="24"/>
      <c r="Q980" s="24"/>
    </row>
    <row r="981" spans="15:17" x14ac:dyDescent="0.3">
      <c r="O981" s="24"/>
      <c r="P981" s="24"/>
      <c r="Q981" s="24"/>
    </row>
    <row r="982" spans="15:17" x14ac:dyDescent="0.3">
      <c r="O982" s="24"/>
      <c r="P982" s="24"/>
      <c r="Q982" s="24"/>
    </row>
    <row r="983" spans="15:17" x14ac:dyDescent="0.3">
      <c r="O983" s="24"/>
      <c r="P983" s="24"/>
      <c r="Q983" s="24"/>
    </row>
    <row r="984" spans="15:17" x14ac:dyDescent="0.3">
      <c r="O984" s="24"/>
      <c r="P984" s="24"/>
      <c r="Q984" s="24"/>
    </row>
    <row r="985" spans="15:17" x14ac:dyDescent="0.3">
      <c r="O985" s="24"/>
      <c r="P985" s="24"/>
      <c r="Q985" s="24"/>
    </row>
    <row r="986" spans="15:17" x14ac:dyDescent="0.3">
      <c r="O986" s="24"/>
      <c r="P986" s="24"/>
      <c r="Q986" s="24"/>
    </row>
    <row r="987" spans="15:17" x14ac:dyDescent="0.3">
      <c r="O987" s="24"/>
      <c r="P987" s="24"/>
      <c r="Q987" s="24"/>
    </row>
    <row r="988" spans="15:17" x14ac:dyDescent="0.3">
      <c r="O988" s="24"/>
      <c r="P988" s="24"/>
      <c r="Q988" s="24"/>
    </row>
    <row r="989" spans="15:17" x14ac:dyDescent="0.3">
      <c r="O989" s="24"/>
      <c r="P989" s="24"/>
      <c r="Q989" s="24"/>
    </row>
    <row r="990" spans="15:17" x14ac:dyDescent="0.3">
      <c r="O990" s="24"/>
      <c r="P990" s="24"/>
      <c r="Q990" s="24"/>
    </row>
    <row r="991" spans="15:17" x14ac:dyDescent="0.3">
      <c r="O991" s="24"/>
      <c r="P991" s="24"/>
      <c r="Q991" s="24"/>
    </row>
    <row r="992" spans="15:17" x14ac:dyDescent="0.3">
      <c r="O992" s="24"/>
      <c r="P992" s="24"/>
      <c r="Q992" s="24"/>
    </row>
    <row r="993" spans="15:17" x14ac:dyDescent="0.3">
      <c r="O993" s="24"/>
      <c r="P993" s="24"/>
      <c r="Q993" s="24"/>
    </row>
    <row r="994" spans="15:17" x14ac:dyDescent="0.3">
      <c r="O994" s="24"/>
      <c r="P994" s="24"/>
      <c r="Q994" s="24"/>
    </row>
    <row r="995" spans="15:17" x14ac:dyDescent="0.3">
      <c r="O995" s="24"/>
      <c r="P995" s="24"/>
      <c r="Q995" s="24"/>
    </row>
    <row r="996" spans="15:17" x14ac:dyDescent="0.3">
      <c r="O996" s="24"/>
      <c r="P996" s="24"/>
      <c r="Q996" s="24"/>
    </row>
    <row r="997" spans="15:17" x14ac:dyDescent="0.3">
      <c r="O997" s="24"/>
      <c r="P997" s="24"/>
      <c r="Q997" s="24"/>
    </row>
    <row r="998" spans="15:17" x14ac:dyDescent="0.3">
      <c r="O998" s="24"/>
      <c r="P998" s="24"/>
      <c r="Q998" s="24"/>
    </row>
    <row r="999" spans="15:17" x14ac:dyDescent="0.3">
      <c r="O999" s="24"/>
      <c r="P999" s="24"/>
      <c r="Q999" s="24"/>
    </row>
    <row r="1000" spans="15:17" x14ac:dyDescent="0.3">
      <c r="O1000" s="24"/>
      <c r="P1000" s="24"/>
      <c r="Q1000" s="24"/>
    </row>
    <row r="1001" spans="15:17" x14ac:dyDescent="0.3">
      <c r="O1001" s="24"/>
      <c r="P1001" s="24"/>
      <c r="Q1001" s="24"/>
    </row>
    <row r="1002" spans="15:17" x14ac:dyDescent="0.3">
      <c r="O1002" s="24"/>
      <c r="P1002" s="24"/>
      <c r="Q1002" s="24"/>
    </row>
    <row r="1003" spans="15:17" x14ac:dyDescent="0.3">
      <c r="O1003" s="24"/>
      <c r="P1003" s="24"/>
      <c r="Q1003" s="24"/>
    </row>
    <row r="1004" spans="15:17" x14ac:dyDescent="0.3">
      <c r="O1004" s="24"/>
      <c r="P1004" s="24"/>
      <c r="Q1004" s="24"/>
    </row>
    <row r="1005" spans="15:17" x14ac:dyDescent="0.3">
      <c r="O1005" s="24"/>
      <c r="P1005" s="24"/>
      <c r="Q1005" s="24"/>
    </row>
    <row r="1006" spans="15:17" x14ac:dyDescent="0.3">
      <c r="O1006" s="24"/>
      <c r="P1006" s="24"/>
      <c r="Q1006" s="24"/>
    </row>
    <row r="1007" spans="15:17" x14ac:dyDescent="0.3">
      <c r="O1007" s="24"/>
      <c r="P1007" s="24"/>
      <c r="Q1007" s="24"/>
    </row>
    <row r="1008" spans="15:17" x14ac:dyDescent="0.3">
      <c r="O1008" s="24"/>
      <c r="P1008" s="24"/>
      <c r="Q1008" s="24"/>
    </row>
    <row r="1009" spans="15:17" x14ac:dyDescent="0.3">
      <c r="O1009" s="24"/>
      <c r="P1009" s="24"/>
      <c r="Q1009" s="24"/>
    </row>
    <row r="1010" spans="15:17" x14ac:dyDescent="0.3">
      <c r="O1010" s="24"/>
      <c r="P1010" s="24"/>
      <c r="Q1010" s="24"/>
    </row>
    <row r="1011" spans="15:17" x14ac:dyDescent="0.3">
      <c r="O1011" s="24"/>
      <c r="P1011" s="24"/>
      <c r="Q1011" s="24"/>
    </row>
    <row r="1012" spans="15:17" x14ac:dyDescent="0.3">
      <c r="O1012" s="24"/>
      <c r="P1012" s="24"/>
      <c r="Q1012" s="24"/>
    </row>
    <row r="1013" spans="15:17" x14ac:dyDescent="0.3">
      <c r="O1013" s="24"/>
      <c r="P1013" s="24"/>
      <c r="Q1013" s="24"/>
    </row>
    <row r="1014" spans="15:17" x14ac:dyDescent="0.3">
      <c r="O1014" s="24"/>
      <c r="P1014" s="24"/>
      <c r="Q1014" s="24"/>
    </row>
    <row r="1015" spans="15:17" x14ac:dyDescent="0.3">
      <c r="O1015" s="24"/>
      <c r="P1015" s="24"/>
      <c r="Q1015" s="24"/>
    </row>
    <row r="1016" spans="15:17" x14ac:dyDescent="0.3">
      <c r="O1016" s="24"/>
      <c r="P1016" s="24"/>
      <c r="Q1016" s="24"/>
    </row>
    <row r="1017" spans="15:17" x14ac:dyDescent="0.3">
      <c r="O1017" s="24"/>
      <c r="P1017" s="24"/>
      <c r="Q1017" s="24"/>
    </row>
    <row r="1018" spans="15:17" x14ac:dyDescent="0.3">
      <c r="O1018" s="24"/>
      <c r="P1018" s="24"/>
      <c r="Q1018" s="24"/>
    </row>
    <row r="1019" spans="15:17" x14ac:dyDescent="0.3">
      <c r="O1019" s="24"/>
      <c r="P1019" s="24"/>
      <c r="Q1019" s="24"/>
    </row>
    <row r="1020" spans="15:17" x14ac:dyDescent="0.3">
      <c r="O1020" s="24"/>
      <c r="P1020" s="24"/>
      <c r="Q1020" s="24"/>
    </row>
    <row r="1021" spans="15:17" x14ac:dyDescent="0.3">
      <c r="O1021" s="24"/>
      <c r="P1021" s="24"/>
      <c r="Q1021" s="24"/>
    </row>
    <row r="1022" spans="15:17" x14ac:dyDescent="0.3">
      <c r="O1022" s="24"/>
      <c r="P1022" s="24"/>
      <c r="Q1022" s="24"/>
    </row>
    <row r="1023" spans="15:17" x14ac:dyDescent="0.3">
      <c r="O1023" s="24"/>
      <c r="P1023" s="24"/>
      <c r="Q1023" s="24"/>
    </row>
    <row r="1024" spans="15:17" x14ac:dyDescent="0.3">
      <c r="O1024" s="24"/>
      <c r="P1024" s="24"/>
      <c r="Q1024" s="24"/>
    </row>
    <row r="1025" spans="15:17" x14ac:dyDescent="0.3">
      <c r="O1025" s="24"/>
      <c r="P1025" s="24"/>
      <c r="Q1025" s="24"/>
    </row>
    <row r="1026" spans="15:17" x14ac:dyDescent="0.3">
      <c r="O1026" s="24"/>
      <c r="P1026" s="24"/>
      <c r="Q1026" s="24"/>
    </row>
    <row r="1027" spans="15:17" x14ac:dyDescent="0.3">
      <c r="O1027" s="24"/>
      <c r="P1027" s="24"/>
      <c r="Q1027" s="24"/>
    </row>
    <row r="1028" spans="15:17" x14ac:dyDescent="0.3">
      <c r="O1028" s="24"/>
      <c r="P1028" s="24"/>
      <c r="Q1028" s="24"/>
    </row>
    <row r="1029" spans="15:17" x14ac:dyDescent="0.3">
      <c r="O1029" s="24"/>
      <c r="P1029" s="24"/>
      <c r="Q1029" s="24"/>
    </row>
    <row r="1030" spans="15:17" x14ac:dyDescent="0.3">
      <c r="O1030" s="24"/>
      <c r="P1030" s="24"/>
      <c r="Q1030" s="24"/>
    </row>
    <row r="1031" spans="15:17" x14ac:dyDescent="0.3">
      <c r="O1031" s="24"/>
      <c r="P1031" s="24"/>
      <c r="Q1031" s="24"/>
    </row>
    <row r="1032" spans="15:17" x14ac:dyDescent="0.3">
      <c r="O1032" s="24"/>
      <c r="P1032" s="24"/>
      <c r="Q1032" s="24"/>
    </row>
    <row r="1033" spans="15:17" x14ac:dyDescent="0.3">
      <c r="O1033" s="24"/>
      <c r="P1033" s="24"/>
      <c r="Q1033" s="24"/>
    </row>
    <row r="1034" spans="15:17" x14ac:dyDescent="0.3">
      <c r="O1034" s="24"/>
      <c r="P1034" s="24"/>
      <c r="Q1034" s="24"/>
    </row>
    <row r="1035" spans="15:17" x14ac:dyDescent="0.3">
      <c r="O1035" s="24"/>
      <c r="P1035" s="24"/>
      <c r="Q1035" s="24"/>
    </row>
    <row r="1036" spans="15:17" x14ac:dyDescent="0.3">
      <c r="O1036" s="24"/>
      <c r="P1036" s="24"/>
      <c r="Q1036" s="24"/>
    </row>
    <row r="1037" spans="15:17" x14ac:dyDescent="0.3">
      <c r="O1037" s="24"/>
      <c r="P1037" s="24"/>
      <c r="Q1037" s="24"/>
    </row>
    <row r="1038" spans="15:17" x14ac:dyDescent="0.3">
      <c r="O1038" s="24"/>
      <c r="P1038" s="24"/>
      <c r="Q1038" s="24"/>
    </row>
    <row r="1039" spans="15:17" x14ac:dyDescent="0.3">
      <c r="O1039" s="24"/>
      <c r="P1039" s="24"/>
      <c r="Q1039" s="24"/>
    </row>
    <row r="1040" spans="15:17" x14ac:dyDescent="0.3">
      <c r="O1040" s="24"/>
      <c r="P1040" s="24"/>
      <c r="Q1040" s="24"/>
    </row>
    <row r="1041" spans="15:17" x14ac:dyDescent="0.3">
      <c r="O1041" s="24"/>
      <c r="P1041" s="24"/>
      <c r="Q1041" s="24"/>
    </row>
    <row r="1042" spans="15:17" x14ac:dyDescent="0.3">
      <c r="O1042" s="24"/>
      <c r="P1042" s="24"/>
      <c r="Q1042" s="24"/>
    </row>
    <row r="1043" spans="15:17" x14ac:dyDescent="0.3">
      <c r="O1043" s="24"/>
      <c r="P1043" s="24"/>
      <c r="Q1043" s="24"/>
    </row>
    <row r="1044" spans="15:17" x14ac:dyDescent="0.3">
      <c r="O1044" s="24"/>
      <c r="P1044" s="24"/>
      <c r="Q1044" s="24"/>
    </row>
    <row r="1045" spans="15:17" x14ac:dyDescent="0.3">
      <c r="O1045" s="24"/>
      <c r="P1045" s="24"/>
      <c r="Q1045" s="24"/>
    </row>
    <row r="1046" spans="15:17" x14ac:dyDescent="0.3">
      <c r="O1046" s="24"/>
      <c r="P1046" s="24"/>
      <c r="Q1046" s="24"/>
    </row>
    <row r="1047" spans="15:17" x14ac:dyDescent="0.3">
      <c r="O1047" s="24"/>
      <c r="P1047" s="24"/>
      <c r="Q1047" s="24"/>
    </row>
    <row r="1048" spans="15:17" x14ac:dyDescent="0.3">
      <c r="O1048" s="24"/>
      <c r="P1048" s="24"/>
      <c r="Q1048" s="24"/>
    </row>
    <row r="1049" spans="15:17" x14ac:dyDescent="0.3">
      <c r="O1049" s="24"/>
      <c r="P1049" s="24"/>
      <c r="Q1049" s="24"/>
    </row>
    <row r="1050" spans="15:17" x14ac:dyDescent="0.3">
      <c r="O1050" s="24"/>
      <c r="P1050" s="24"/>
      <c r="Q1050" s="24"/>
    </row>
    <row r="1051" spans="15:17" x14ac:dyDescent="0.3">
      <c r="O1051" s="24"/>
      <c r="P1051" s="24"/>
      <c r="Q1051" s="24"/>
    </row>
    <row r="1052" spans="15:17" x14ac:dyDescent="0.3">
      <c r="O1052" s="24"/>
      <c r="P1052" s="24"/>
      <c r="Q1052" s="24"/>
    </row>
    <row r="1053" spans="15:17" x14ac:dyDescent="0.3">
      <c r="O1053" s="24"/>
      <c r="P1053" s="24"/>
      <c r="Q1053" s="24"/>
    </row>
    <row r="1054" spans="15:17" x14ac:dyDescent="0.3">
      <c r="O1054" s="24"/>
      <c r="P1054" s="24"/>
      <c r="Q1054" s="24"/>
    </row>
    <row r="1055" spans="15:17" x14ac:dyDescent="0.3">
      <c r="O1055" s="24"/>
      <c r="P1055" s="24"/>
      <c r="Q1055" s="24"/>
    </row>
    <row r="1056" spans="15:17" x14ac:dyDescent="0.3">
      <c r="O1056" s="24"/>
      <c r="P1056" s="24"/>
      <c r="Q1056" s="24"/>
    </row>
    <row r="1057" spans="15:17" x14ac:dyDescent="0.3">
      <c r="O1057" s="24"/>
      <c r="P1057" s="24"/>
      <c r="Q1057" s="24"/>
    </row>
    <row r="1058" spans="15:17" x14ac:dyDescent="0.3">
      <c r="O1058" s="24"/>
      <c r="P1058" s="24"/>
      <c r="Q1058" s="24"/>
    </row>
    <row r="1059" spans="15:17" x14ac:dyDescent="0.3">
      <c r="O1059" s="24"/>
      <c r="P1059" s="24"/>
      <c r="Q1059" s="24"/>
    </row>
    <row r="1060" spans="15:17" x14ac:dyDescent="0.3">
      <c r="O1060" s="24"/>
      <c r="P1060" s="24"/>
      <c r="Q1060" s="24"/>
    </row>
    <row r="1061" spans="15:17" x14ac:dyDescent="0.3">
      <c r="O1061" s="24"/>
      <c r="P1061" s="24"/>
      <c r="Q1061" s="24"/>
    </row>
    <row r="1062" spans="15:17" x14ac:dyDescent="0.3">
      <c r="O1062" s="24"/>
      <c r="P1062" s="24"/>
      <c r="Q1062" s="24"/>
    </row>
    <row r="1063" spans="15:17" x14ac:dyDescent="0.3">
      <c r="O1063" s="24"/>
      <c r="P1063" s="24"/>
      <c r="Q1063" s="24"/>
    </row>
    <row r="1064" spans="15:17" x14ac:dyDescent="0.3">
      <c r="O1064" s="24"/>
      <c r="P1064" s="24"/>
      <c r="Q1064" s="24"/>
    </row>
    <row r="1065" spans="15:17" x14ac:dyDescent="0.3">
      <c r="O1065" s="24"/>
      <c r="P1065" s="24"/>
      <c r="Q1065" s="24"/>
    </row>
    <row r="1066" spans="15:17" x14ac:dyDescent="0.3">
      <c r="O1066" s="24"/>
      <c r="P1066" s="24"/>
      <c r="Q1066" s="24"/>
    </row>
    <row r="1067" spans="15:17" x14ac:dyDescent="0.3">
      <c r="O1067" s="24"/>
      <c r="P1067" s="24"/>
      <c r="Q1067" s="24"/>
    </row>
    <row r="1068" spans="15:17" x14ac:dyDescent="0.3">
      <c r="O1068" s="24"/>
      <c r="P1068" s="24"/>
      <c r="Q1068" s="24"/>
    </row>
    <row r="1069" spans="15:17" x14ac:dyDescent="0.3">
      <c r="O1069" s="24"/>
      <c r="P1069" s="24"/>
      <c r="Q1069" s="24"/>
    </row>
    <row r="1070" spans="15:17" x14ac:dyDescent="0.3">
      <c r="O1070" s="24"/>
      <c r="P1070" s="24"/>
      <c r="Q1070" s="24"/>
    </row>
    <row r="1071" spans="15:17" x14ac:dyDescent="0.3">
      <c r="O1071" s="24"/>
      <c r="P1071" s="24"/>
      <c r="Q1071" s="24"/>
    </row>
    <row r="1072" spans="15:17" x14ac:dyDescent="0.3">
      <c r="O1072" s="24"/>
      <c r="P1072" s="24"/>
      <c r="Q1072" s="24"/>
    </row>
    <row r="1073" spans="15:17" x14ac:dyDescent="0.3">
      <c r="O1073" s="24"/>
      <c r="P1073" s="24"/>
      <c r="Q1073" s="24"/>
    </row>
    <row r="1074" spans="15:17" x14ac:dyDescent="0.3">
      <c r="O1074" s="24"/>
      <c r="P1074" s="24"/>
      <c r="Q1074" s="24"/>
    </row>
    <row r="1075" spans="15:17" x14ac:dyDescent="0.3">
      <c r="O1075" s="24"/>
      <c r="P1075" s="24"/>
      <c r="Q1075" s="24"/>
    </row>
    <row r="1076" spans="15:17" x14ac:dyDescent="0.3">
      <c r="O1076" s="24"/>
      <c r="P1076" s="24"/>
      <c r="Q1076" s="24"/>
    </row>
    <row r="1077" spans="15:17" x14ac:dyDescent="0.3">
      <c r="O1077" s="24"/>
      <c r="P1077" s="24"/>
      <c r="Q1077" s="24"/>
    </row>
    <row r="1078" spans="15:17" x14ac:dyDescent="0.3">
      <c r="O1078" s="24"/>
      <c r="P1078" s="24"/>
      <c r="Q1078" s="24"/>
    </row>
    <row r="1079" spans="15:17" x14ac:dyDescent="0.3">
      <c r="O1079" s="24"/>
      <c r="P1079" s="24"/>
      <c r="Q1079" s="24"/>
    </row>
    <row r="1080" spans="15:17" x14ac:dyDescent="0.3">
      <c r="O1080" s="24"/>
      <c r="P1080" s="24"/>
      <c r="Q1080" s="24"/>
    </row>
    <row r="1081" spans="15:17" x14ac:dyDescent="0.3">
      <c r="O1081" s="24"/>
      <c r="P1081" s="24"/>
      <c r="Q1081" s="24"/>
    </row>
    <row r="1082" spans="15:17" x14ac:dyDescent="0.3">
      <c r="O1082" s="24"/>
      <c r="P1082" s="24"/>
      <c r="Q1082" s="24"/>
    </row>
    <row r="1083" spans="15:17" x14ac:dyDescent="0.3">
      <c r="O1083" s="24"/>
      <c r="P1083" s="24"/>
      <c r="Q1083" s="24"/>
    </row>
    <row r="1084" spans="15:17" x14ac:dyDescent="0.3">
      <c r="O1084" s="24"/>
      <c r="P1084" s="24"/>
      <c r="Q1084" s="24"/>
    </row>
    <row r="1085" spans="15:17" x14ac:dyDescent="0.3">
      <c r="O1085" s="24"/>
      <c r="P1085" s="24"/>
      <c r="Q1085" s="24"/>
    </row>
    <row r="1086" spans="15:17" x14ac:dyDescent="0.3">
      <c r="O1086" s="24"/>
      <c r="P1086" s="24"/>
      <c r="Q1086" s="24"/>
    </row>
    <row r="1087" spans="15:17" x14ac:dyDescent="0.3">
      <c r="O1087" s="24"/>
      <c r="P1087" s="24"/>
      <c r="Q1087" s="24"/>
    </row>
    <row r="1088" spans="15:17" x14ac:dyDescent="0.3">
      <c r="O1088" s="24"/>
      <c r="P1088" s="24"/>
      <c r="Q1088" s="24"/>
    </row>
    <row r="1089" spans="15:17" x14ac:dyDescent="0.3">
      <c r="O1089" s="24"/>
      <c r="P1089" s="24"/>
      <c r="Q1089" s="24"/>
    </row>
    <row r="1090" spans="15:17" x14ac:dyDescent="0.3">
      <c r="O1090" s="24"/>
      <c r="P1090" s="24"/>
      <c r="Q1090" s="24"/>
    </row>
    <row r="1091" spans="15:17" x14ac:dyDescent="0.3">
      <c r="O1091" s="24"/>
      <c r="P1091" s="24"/>
      <c r="Q1091" s="24"/>
    </row>
    <row r="1092" spans="15:17" x14ac:dyDescent="0.3">
      <c r="O1092" s="24"/>
      <c r="P1092" s="24"/>
      <c r="Q1092" s="24"/>
    </row>
    <row r="1093" spans="15:17" x14ac:dyDescent="0.3">
      <c r="O1093" s="24"/>
      <c r="P1093" s="24"/>
      <c r="Q1093" s="24"/>
    </row>
    <row r="1094" spans="15:17" x14ac:dyDescent="0.3">
      <c r="O1094" s="24"/>
      <c r="P1094" s="24"/>
      <c r="Q1094" s="24"/>
    </row>
    <row r="1095" spans="15:17" x14ac:dyDescent="0.3">
      <c r="O1095" s="24"/>
      <c r="P1095" s="24"/>
      <c r="Q1095" s="24"/>
    </row>
    <row r="1096" spans="15:17" x14ac:dyDescent="0.3">
      <c r="O1096" s="24"/>
      <c r="P1096" s="24"/>
      <c r="Q1096" s="24"/>
    </row>
    <row r="1097" spans="15:17" x14ac:dyDescent="0.3">
      <c r="O1097" s="24"/>
      <c r="P1097" s="24"/>
      <c r="Q1097" s="24"/>
    </row>
    <row r="1098" spans="15:17" x14ac:dyDescent="0.3">
      <c r="O1098" s="24"/>
      <c r="P1098" s="24"/>
      <c r="Q1098" s="24"/>
    </row>
    <row r="1099" spans="15:17" x14ac:dyDescent="0.3">
      <c r="O1099" s="24"/>
      <c r="P1099" s="24"/>
      <c r="Q1099" s="24"/>
    </row>
    <row r="1100" spans="15:17" x14ac:dyDescent="0.3">
      <c r="O1100" s="24"/>
      <c r="P1100" s="24"/>
      <c r="Q1100" s="24"/>
    </row>
    <row r="1101" spans="15:17" x14ac:dyDescent="0.3">
      <c r="O1101" s="24"/>
      <c r="P1101" s="24"/>
      <c r="Q1101" s="24"/>
    </row>
    <row r="1102" spans="15:17" x14ac:dyDescent="0.3">
      <c r="O1102" s="24"/>
      <c r="P1102" s="24"/>
      <c r="Q1102" s="24"/>
    </row>
    <row r="1103" spans="15:17" x14ac:dyDescent="0.3">
      <c r="O1103" s="24"/>
      <c r="P1103" s="24"/>
      <c r="Q1103" s="24"/>
    </row>
    <row r="1104" spans="15:17" x14ac:dyDescent="0.3">
      <c r="O1104" s="24"/>
      <c r="P1104" s="24"/>
      <c r="Q1104" s="24"/>
    </row>
    <row r="1105" spans="15:17" x14ac:dyDescent="0.3">
      <c r="O1105" s="24"/>
      <c r="P1105" s="24"/>
      <c r="Q1105" s="24"/>
    </row>
    <row r="1106" spans="15:17" x14ac:dyDescent="0.3">
      <c r="O1106" s="24"/>
      <c r="P1106" s="24"/>
      <c r="Q1106" s="24"/>
    </row>
    <row r="1107" spans="15:17" x14ac:dyDescent="0.3">
      <c r="O1107" s="24"/>
      <c r="P1107" s="24"/>
      <c r="Q1107" s="24"/>
    </row>
    <row r="1108" spans="15:17" x14ac:dyDescent="0.3">
      <c r="O1108" s="24"/>
      <c r="P1108" s="24"/>
      <c r="Q1108" s="24"/>
    </row>
    <row r="1109" spans="15:17" x14ac:dyDescent="0.3">
      <c r="O1109" s="24"/>
      <c r="P1109" s="24"/>
      <c r="Q1109" s="24"/>
    </row>
    <row r="1110" spans="15:17" x14ac:dyDescent="0.3">
      <c r="O1110" s="24"/>
      <c r="P1110" s="24"/>
      <c r="Q1110" s="24"/>
    </row>
    <row r="1111" spans="15:17" x14ac:dyDescent="0.3">
      <c r="O1111" s="24"/>
      <c r="P1111" s="24"/>
      <c r="Q1111" s="24"/>
    </row>
    <row r="1112" spans="15:17" x14ac:dyDescent="0.3">
      <c r="O1112" s="24"/>
      <c r="P1112" s="24"/>
      <c r="Q1112" s="24"/>
    </row>
    <row r="1113" spans="15:17" x14ac:dyDescent="0.3">
      <c r="O1113" s="24"/>
      <c r="P1113" s="24"/>
      <c r="Q1113" s="24"/>
    </row>
    <row r="1114" spans="15:17" x14ac:dyDescent="0.3">
      <c r="O1114" s="24"/>
      <c r="P1114" s="24"/>
      <c r="Q1114" s="24"/>
    </row>
    <row r="1115" spans="15:17" x14ac:dyDescent="0.3">
      <c r="O1115" s="24"/>
      <c r="P1115" s="24"/>
      <c r="Q1115" s="24"/>
    </row>
    <row r="1116" spans="15:17" x14ac:dyDescent="0.3">
      <c r="O1116" s="24"/>
      <c r="P1116" s="24"/>
      <c r="Q1116" s="24"/>
    </row>
    <row r="1117" spans="15:17" x14ac:dyDescent="0.3">
      <c r="O1117" s="24"/>
      <c r="P1117" s="24"/>
      <c r="Q1117" s="24"/>
    </row>
    <row r="1118" spans="15:17" x14ac:dyDescent="0.3">
      <c r="O1118" s="24"/>
      <c r="P1118" s="24"/>
      <c r="Q1118" s="24"/>
    </row>
    <row r="1119" spans="15:17" x14ac:dyDescent="0.3">
      <c r="O1119" s="24"/>
      <c r="P1119" s="24"/>
      <c r="Q1119" s="24"/>
    </row>
    <row r="1120" spans="15:17" x14ac:dyDescent="0.3">
      <c r="O1120" s="24"/>
      <c r="P1120" s="24"/>
      <c r="Q1120" s="24"/>
    </row>
    <row r="1121" spans="15:17" x14ac:dyDescent="0.3">
      <c r="O1121" s="24"/>
      <c r="P1121" s="24"/>
      <c r="Q1121" s="24"/>
    </row>
    <row r="1122" spans="15:17" x14ac:dyDescent="0.3">
      <c r="O1122" s="24"/>
      <c r="P1122" s="24"/>
      <c r="Q1122" s="24"/>
    </row>
    <row r="1123" spans="15:17" x14ac:dyDescent="0.3">
      <c r="O1123" s="24"/>
      <c r="P1123" s="24"/>
      <c r="Q1123" s="24"/>
    </row>
    <row r="1124" spans="15:17" x14ac:dyDescent="0.3">
      <c r="O1124" s="24"/>
      <c r="P1124" s="24"/>
      <c r="Q1124" s="24"/>
    </row>
    <row r="1125" spans="15:17" x14ac:dyDescent="0.3">
      <c r="O1125" s="24"/>
      <c r="P1125" s="24"/>
      <c r="Q1125" s="24"/>
    </row>
    <row r="1126" spans="15:17" x14ac:dyDescent="0.3">
      <c r="O1126" s="24"/>
      <c r="P1126" s="24"/>
      <c r="Q1126" s="24"/>
    </row>
    <row r="1127" spans="15:17" x14ac:dyDescent="0.3">
      <c r="O1127" s="24"/>
      <c r="P1127" s="24"/>
      <c r="Q1127" s="24"/>
    </row>
    <row r="1128" spans="15:17" x14ac:dyDescent="0.3">
      <c r="O1128" s="24"/>
      <c r="P1128" s="24"/>
      <c r="Q1128" s="24"/>
    </row>
    <row r="1129" spans="15:17" x14ac:dyDescent="0.3">
      <c r="O1129" s="24"/>
      <c r="P1129" s="24"/>
      <c r="Q1129" s="24"/>
    </row>
    <row r="1130" spans="15:17" x14ac:dyDescent="0.3">
      <c r="O1130" s="24"/>
      <c r="P1130" s="24"/>
      <c r="Q1130" s="24"/>
    </row>
    <row r="1131" spans="15:17" x14ac:dyDescent="0.3">
      <c r="O1131" s="24"/>
      <c r="P1131" s="24"/>
      <c r="Q1131" s="24"/>
    </row>
    <row r="1132" spans="15:17" x14ac:dyDescent="0.3">
      <c r="O1132" s="24"/>
      <c r="P1132" s="24"/>
      <c r="Q1132" s="24"/>
    </row>
    <row r="1133" spans="15:17" x14ac:dyDescent="0.3">
      <c r="O1133" s="24"/>
      <c r="P1133" s="24"/>
      <c r="Q1133" s="24"/>
    </row>
    <row r="1134" spans="15:17" x14ac:dyDescent="0.3">
      <c r="O1134" s="24"/>
      <c r="P1134" s="24"/>
      <c r="Q1134" s="24"/>
    </row>
    <row r="1135" spans="15:17" x14ac:dyDescent="0.3">
      <c r="O1135" s="24"/>
      <c r="P1135" s="24"/>
      <c r="Q1135" s="24"/>
    </row>
    <row r="1136" spans="15:17" x14ac:dyDescent="0.3">
      <c r="O1136" s="24"/>
      <c r="P1136" s="24"/>
      <c r="Q1136" s="24"/>
    </row>
    <row r="1137" spans="15:17" x14ac:dyDescent="0.3">
      <c r="O1137" s="24"/>
      <c r="P1137" s="24"/>
      <c r="Q1137" s="24"/>
    </row>
    <row r="1138" spans="15:17" x14ac:dyDescent="0.3">
      <c r="O1138" s="24"/>
      <c r="P1138" s="24"/>
      <c r="Q1138" s="24"/>
    </row>
    <row r="1139" spans="15:17" x14ac:dyDescent="0.3">
      <c r="O1139" s="24"/>
      <c r="P1139" s="24"/>
      <c r="Q1139" s="24"/>
    </row>
    <row r="1140" spans="15:17" x14ac:dyDescent="0.3">
      <c r="O1140" s="24"/>
      <c r="P1140" s="24"/>
      <c r="Q1140" s="24"/>
    </row>
    <row r="1141" spans="15:17" x14ac:dyDescent="0.3">
      <c r="O1141" s="24"/>
      <c r="P1141" s="24"/>
      <c r="Q1141" s="24"/>
    </row>
    <row r="1142" spans="15:17" x14ac:dyDescent="0.3">
      <c r="O1142" s="24"/>
      <c r="P1142" s="24"/>
      <c r="Q1142" s="24"/>
    </row>
    <row r="1143" spans="15:17" x14ac:dyDescent="0.3">
      <c r="O1143" s="24"/>
      <c r="P1143" s="24"/>
      <c r="Q1143" s="24"/>
    </row>
    <row r="1144" spans="15:17" x14ac:dyDescent="0.3">
      <c r="O1144" s="24"/>
      <c r="P1144" s="24"/>
      <c r="Q1144" s="24"/>
    </row>
    <row r="1145" spans="15:17" x14ac:dyDescent="0.3">
      <c r="O1145" s="24"/>
      <c r="P1145" s="24"/>
      <c r="Q1145" s="24"/>
    </row>
    <row r="1146" spans="15:17" x14ac:dyDescent="0.3">
      <c r="O1146" s="24"/>
      <c r="P1146" s="24"/>
      <c r="Q1146" s="24"/>
    </row>
    <row r="1147" spans="15:17" x14ac:dyDescent="0.3">
      <c r="O1147" s="24"/>
      <c r="P1147" s="24"/>
      <c r="Q1147" s="24"/>
    </row>
    <row r="1148" spans="15:17" x14ac:dyDescent="0.3">
      <c r="O1148" s="24"/>
      <c r="P1148" s="24"/>
      <c r="Q1148" s="24"/>
    </row>
    <row r="1149" spans="15:17" x14ac:dyDescent="0.3">
      <c r="O1149" s="24"/>
      <c r="P1149" s="24"/>
      <c r="Q1149" s="24"/>
    </row>
    <row r="1150" spans="15:17" x14ac:dyDescent="0.3">
      <c r="O1150" s="24"/>
      <c r="P1150" s="24"/>
      <c r="Q1150" s="24"/>
    </row>
    <row r="1151" spans="15:17" x14ac:dyDescent="0.3">
      <c r="O1151" s="24"/>
      <c r="P1151" s="24"/>
      <c r="Q1151" s="24"/>
    </row>
    <row r="1152" spans="15:17" x14ac:dyDescent="0.3">
      <c r="O1152" s="24"/>
      <c r="P1152" s="24"/>
      <c r="Q1152" s="24"/>
    </row>
    <row r="1153" spans="15:17" x14ac:dyDescent="0.3">
      <c r="O1153" s="24"/>
      <c r="P1153" s="24"/>
      <c r="Q1153" s="24"/>
    </row>
    <row r="1154" spans="15:17" x14ac:dyDescent="0.3">
      <c r="O1154" s="24"/>
      <c r="P1154" s="24"/>
      <c r="Q1154" s="24"/>
    </row>
    <row r="1155" spans="15:17" x14ac:dyDescent="0.3">
      <c r="O1155" s="24"/>
      <c r="P1155" s="24"/>
      <c r="Q1155" s="24"/>
    </row>
    <row r="1156" spans="15:17" x14ac:dyDescent="0.3">
      <c r="O1156" s="24"/>
      <c r="P1156" s="24"/>
      <c r="Q1156" s="24"/>
    </row>
    <row r="1157" spans="15:17" x14ac:dyDescent="0.3">
      <c r="O1157" s="24"/>
      <c r="P1157" s="24"/>
      <c r="Q1157" s="24"/>
    </row>
    <row r="1158" spans="15:17" x14ac:dyDescent="0.3">
      <c r="O1158" s="24"/>
      <c r="P1158" s="24"/>
      <c r="Q1158" s="24"/>
    </row>
    <row r="1159" spans="15:17" x14ac:dyDescent="0.3">
      <c r="O1159" s="24"/>
      <c r="P1159" s="24"/>
      <c r="Q1159" s="24"/>
    </row>
    <row r="1160" spans="15:17" x14ac:dyDescent="0.3">
      <c r="O1160" s="24"/>
      <c r="P1160" s="24"/>
      <c r="Q1160" s="24"/>
    </row>
    <row r="1161" spans="15:17" x14ac:dyDescent="0.3">
      <c r="O1161" s="24"/>
      <c r="P1161" s="24"/>
      <c r="Q1161" s="24"/>
    </row>
    <row r="1162" spans="15:17" x14ac:dyDescent="0.3">
      <c r="O1162" s="24"/>
      <c r="P1162" s="24"/>
      <c r="Q1162" s="24"/>
    </row>
    <row r="1163" spans="15:17" x14ac:dyDescent="0.3">
      <c r="O1163" s="24"/>
      <c r="P1163" s="24"/>
      <c r="Q1163" s="24"/>
    </row>
    <row r="1164" spans="15:17" x14ac:dyDescent="0.3">
      <c r="O1164" s="24"/>
      <c r="P1164" s="24"/>
      <c r="Q1164" s="24"/>
    </row>
    <row r="1165" spans="15:17" x14ac:dyDescent="0.3">
      <c r="O1165" s="24"/>
      <c r="P1165" s="24"/>
      <c r="Q1165" s="24"/>
    </row>
    <row r="1166" spans="15:17" x14ac:dyDescent="0.3">
      <c r="O1166" s="24"/>
      <c r="P1166" s="24"/>
      <c r="Q1166" s="24"/>
    </row>
    <row r="1167" spans="15:17" x14ac:dyDescent="0.3">
      <c r="O1167" s="24"/>
      <c r="P1167" s="24"/>
      <c r="Q1167" s="24"/>
    </row>
    <row r="1168" spans="15:17" x14ac:dyDescent="0.3">
      <c r="O1168" s="24"/>
      <c r="P1168" s="24"/>
      <c r="Q1168" s="24"/>
    </row>
    <row r="1169" spans="15:17" x14ac:dyDescent="0.3">
      <c r="O1169" s="24"/>
      <c r="P1169" s="24"/>
      <c r="Q1169" s="24"/>
    </row>
    <row r="1170" spans="15:17" x14ac:dyDescent="0.3">
      <c r="O1170" s="24"/>
      <c r="P1170" s="24"/>
      <c r="Q1170" s="24"/>
    </row>
    <row r="1171" spans="15:17" x14ac:dyDescent="0.3">
      <c r="O1171" s="24"/>
      <c r="P1171" s="24"/>
      <c r="Q1171" s="24"/>
    </row>
    <row r="1172" spans="15:17" x14ac:dyDescent="0.3">
      <c r="O1172" s="24"/>
      <c r="P1172" s="24"/>
      <c r="Q1172" s="24"/>
    </row>
    <row r="1173" spans="15:17" x14ac:dyDescent="0.3">
      <c r="O1173" s="24"/>
      <c r="P1173" s="24"/>
      <c r="Q1173" s="24"/>
    </row>
    <row r="1174" spans="15:17" x14ac:dyDescent="0.3">
      <c r="O1174" s="24"/>
      <c r="P1174" s="24"/>
      <c r="Q1174" s="24"/>
    </row>
    <row r="1175" spans="15:17" x14ac:dyDescent="0.3">
      <c r="O1175" s="24"/>
      <c r="P1175" s="24"/>
      <c r="Q1175" s="24"/>
    </row>
    <row r="1176" spans="15:17" x14ac:dyDescent="0.3">
      <c r="O1176" s="24"/>
      <c r="P1176" s="24"/>
      <c r="Q1176" s="24"/>
    </row>
    <row r="1177" spans="15:17" x14ac:dyDescent="0.3">
      <c r="O1177" s="24"/>
      <c r="P1177" s="24"/>
      <c r="Q1177" s="24"/>
    </row>
    <row r="1178" spans="15:17" x14ac:dyDescent="0.3">
      <c r="O1178" s="24"/>
      <c r="P1178" s="24"/>
      <c r="Q1178" s="24"/>
    </row>
    <row r="1179" spans="15:17" x14ac:dyDescent="0.3">
      <c r="O1179" s="24"/>
      <c r="P1179" s="24"/>
      <c r="Q1179" s="24"/>
    </row>
    <row r="1180" spans="15:17" x14ac:dyDescent="0.3">
      <c r="O1180" s="24"/>
      <c r="P1180" s="24"/>
      <c r="Q1180" s="24"/>
    </row>
    <row r="1181" spans="15:17" x14ac:dyDescent="0.3">
      <c r="O1181" s="24"/>
      <c r="P1181" s="24"/>
      <c r="Q1181" s="24"/>
    </row>
    <row r="1182" spans="15:17" x14ac:dyDescent="0.3">
      <c r="O1182" s="24"/>
      <c r="P1182" s="24"/>
      <c r="Q1182" s="24"/>
    </row>
    <row r="1183" spans="15:17" x14ac:dyDescent="0.3">
      <c r="O1183" s="24"/>
      <c r="P1183" s="24"/>
      <c r="Q1183" s="24"/>
    </row>
    <row r="1184" spans="15:17" x14ac:dyDescent="0.3">
      <c r="O1184" s="24"/>
      <c r="P1184" s="24"/>
      <c r="Q1184" s="24"/>
    </row>
    <row r="1185" spans="15:17" x14ac:dyDescent="0.3">
      <c r="O1185" s="24"/>
      <c r="P1185" s="24"/>
      <c r="Q1185" s="24"/>
    </row>
    <row r="1186" spans="15:17" x14ac:dyDescent="0.3">
      <c r="O1186" s="24"/>
      <c r="P1186" s="24"/>
      <c r="Q1186" s="24"/>
    </row>
    <row r="1187" spans="15:17" x14ac:dyDescent="0.3">
      <c r="O1187" s="24"/>
      <c r="P1187" s="24"/>
      <c r="Q1187" s="24"/>
    </row>
    <row r="1188" spans="15:17" x14ac:dyDescent="0.3">
      <c r="O1188" s="24"/>
      <c r="P1188" s="24"/>
      <c r="Q1188" s="24"/>
    </row>
    <row r="1189" spans="15:17" x14ac:dyDescent="0.3">
      <c r="O1189" s="24"/>
      <c r="P1189" s="24"/>
      <c r="Q1189" s="24"/>
    </row>
    <row r="1190" spans="15:17" x14ac:dyDescent="0.3">
      <c r="O1190" s="24"/>
      <c r="P1190" s="24"/>
      <c r="Q1190" s="24"/>
    </row>
    <row r="1191" spans="15:17" x14ac:dyDescent="0.3">
      <c r="O1191" s="24"/>
      <c r="P1191" s="24"/>
      <c r="Q1191" s="24"/>
    </row>
    <row r="1192" spans="15:17" x14ac:dyDescent="0.3">
      <c r="O1192" s="24"/>
      <c r="P1192" s="24"/>
      <c r="Q1192" s="24"/>
    </row>
    <row r="1193" spans="15:17" x14ac:dyDescent="0.3">
      <c r="O1193" s="24"/>
      <c r="P1193" s="24"/>
      <c r="Q1193" s="24"/>
    </row>
    <row r="1194" spans="15:17" x14ac:dyDescent="0.3">
      <c r="O1194" s="24"/>
      <c r="P1194" s="24"/>
      <c r="Q1194" s="24"/>
    </row>
    <row r="1195" spans="15:17" x14ac:dyDescent="0.3">
      <c r="O1195" s="24"/>
      <c r="P1195" s="24"/>
      <c r="Q1195" s="24"/>
    </row>
    <row r="1196" spans="15:17" x14ac:dyDescent="0.3">
      <c r="O1196" s="24"/>
      <c r="P1196" s="24"/>
      <c r="Q1196" s="24"/>
    </row>
    <row r="1197" spans="15:17" x14ac:dyDescent="0.3">
      <c r="O1197" s="24"/>
      <c r="P1197" s="24"/>
      <c r="Q1197" s="24"/>
    </row>
    <row r="1198" spans="15:17" x14ac:dyDescent="0.3">
      <c r="O1198" s="24"/>
      <c r="P1198" s="24"/>
      <c r="Q1198" s="24"/>
    </row>
    <row r="1199" spans="15:17" x14ac:dyDescent="0.3">
      <c r="O1199" s="24"/>
      <c r="P1199" s="24"/>
      <c r="Q1199" s="24"/>
    </row>
    <row r="1200" spans="15:17" x14ac:dyDescent="0.3">
      <c r="O1200" s="24"/>
      <c r="P1200" s="24"/>
      <c r="Q1200" s="24"/>
    </row>
    <row r="1201" spans="15:17" x14ac:dyDescent="0.3">
      <c r="O1201" s="24"/>
      <c r="P1201" s="24"/>
      <c r="Q1201" s="24"/>
    </row>
    <row r="1202" spans="15:17" x14ac:dyDescent="0.3">
      <c r="O1202" s="24"/>
      <c r="P1202" s="24"/>
      <c r="Q1202" s="24"/>
    </row>
    <row r="1203" spans="15:17" x14ac:dyDescent="0.3">
      <c r="O1203" s="24"/>
      <c r="P1203" s="24"/>
      <c r="Q1203" s="24"/>
    </row>
    <row r="1204" spans="15:17" x14ac:dyDescent="0.3">
      <c r="O1204" s="24"/>
      <c r="P1204" s="24"/>
      <c r="Q1204" s="24"/>
    </row>
    <row r="1205" spans="15:17" x14ac:dyDescent="0.3">
      <c r="O1205" s="24"/>
      <c r="P1205" s="24"/>
      <c r="Q1205" s="24"/>
    </row>
    <row r="1206" spans="15:17" x14ac:dyDescent="0.3">
      <c r="O1206" s="24"/>
      <c r="P1206" s="24"/>
      <c r="Q1206" s="24"/>
    </row>
    <row r="1207" spans="15:17" x14ac:dyDescent="0.3">
      <c r="O1207" s="24"/>
      <c r="P1207" s="24"/>
      <c r="Q1207" s="24"/>
    </row>
    <row r="1208" spans="15:17" x14ac:dyDescent="0.3">
      <c r="O1208" s="24"/>
      <c r="P1208" s="24"/>
      <c r="Q1208" s="24"/>
    </row>
    <row r="1209" spans="15:17" x14ac:dyDescent="0.3">
      <c r="O1209" s="24"/>
      <c r="P1209" s="24"/>
      <c r="Q1209" s="24"/>
    </row>
    <row r="1210" spans="15:17" x14ac:dyDescent="0.3">
      <c r="O1210" s="24"/>
      <c r="P1210" s="24"/>
      <c r="Q1210" s="24"/>
    </row>
    <row r="1211" spans="15:17" x14ac:dyDescent="0.3">
      <c r="O1211" s="24"/>
      <c r="P1211" s="24"/>
      <c r="Q1211" s="24"/>
    </row>
    <row r="1212" spans="15:17" x14ac:dyDescent="0.3">
      <c r="O1212" s="24"/>
      <c r="P1212" s="24"/>
      <c r="Q1212" s="24"/>
    </row>
    <row r="1213" spans="15:17" x14ac:dyDescent="0.3">
      <c r="O1213" s="24"/>
      <c r="P1213" s="24"/>
      <c r="Q1213" s="24"/>
    </row>
    <row r="1214" spans="15:17" x14ac:dyDescent="0.3">
      <c r="O1214" s="24"/>
      <c r="P1214" s="24"/>
      <c r="Q1214" s="24"/>
    </row>
    <row r="1215" spans="15:17" x14ac:dyDescent="0.3">
      <c r="O1215" s="24"/>
      <c r="P1215" s="24"/>
      <c r="Q1215" s="24"/>
    </row>
    <row r="1216" spans="15:17" x14ac:dyDescent="0.3">
      <c r="O1216" s="24"/>
      <c r="P1216" s="24"/>
      <c r="Q1216" s="24"/>
    </row>
    <row r="1217" spans="15:17" x14ac:dyDescent="0.3">
      <c r="O1217" s="24"/>
      <c r="P1217" s="24"/>
      <c r="Q1217" s="24"/>
    </row>
    <row r="1218" spans="15:17" x14ac:dyDescent="0.3">
      <c r="O1218" s="24"/>
      <c r="P1218" s="24"/>
      <c r="Q1218" s="24"/>
    </row>
    <row r="1219" spans="15:17" x14ac:dyDescent="0.3">
      <c r="O1219" s="24"/>
      <c r="P1219" s="24"/>
      <c r="Q1219" s="24"/>
    </row>
    <row r="1220" spans="15:17" x14ac:dyDescent="0.3">
      <c r="O1220" s="24"/>
      <c r="P1220" s="24"/>
      <c r="Q1220" s="24"/>
    </row>
    <row r="1221" spans="15:17" x14ac:dyDescent="0.3">
      <c r="O1221" s="24"/>
      <c r="P1221" s="24"/>
      <c r="Q1221" s="24"/>
    </row>
    <row r="1222" spans="15:17" x14ac:dyDescent="0.3">
      <c r="O1222" s="24"/>
      <c r="P1222" s="24"/>
      <c r="Q1222" s="24"/>
    </row>
    <row r="1223" spans="15:17" x14ac:dyDescent="0.3">
      <c r="O1223" s="24"/>
      <c r="P1223" s="24"/>
      <c r="Q1223" s="24"/>
    </row>
    <row r="1224" spans="15:17" x14ac:dyDescent="0.3">
      <c r="O1224" s="24"/>
      <c r="P1224" s="24"/>
      <c r="Q1224" s="24"/>
    </row>
    <row r="1225" spans="15:17" x14ac:dyDescent="0.3">
      <c r="O1225" s="24"/>
      <c r="P1225" s="24"/>
      <c r="Q1225" s="24"/>
    </row>
    <row r="1226" spans="15:17" x14ac:dyDescent="0.3">
      <c r="O1226" s="24"/>
      <c r="P1226" s="24"/>
      <c r="Q1226" s="24"/>
    </row>
    <row r="1227" spans="15:17" x14ac:dyDescent="0.3">
      <c r="O1227" s="24"/>
      <c r="P1227" s="24"/>
      <c r="Q1227" s="24"/>
    </row>
    <row r="1228" spans="15:17" x14ac:dyDescent="0.3">
      <c r="O1228" s="24"/>
      <c r="P1228" s="24"/>
      <c r="Q1228" s="24"/>
    </row>
    <row r="1229" spans="15:17" x14ac:dyDescent="0.3">
      <c r="O1229" s="24"/>
      <c r="P1229" s="24"/>
      <c r="Q1229" s="24"/>
    </row>
    <row r="1230" spans="15:17" x14ac:dyDescent="0.3">
      <c r="O1230" s="24"/>
      <c r="P1230" s="24"/>
      <c r="Q1230" s="24"/>
    </row>
    <row r="1231" spans="15:17" x14ac:dyDescent="0.3">
      <c r="O1231" s="24"/>
      <c r="P1231" s="24"/>
      <c r="Q1231" s="24"/>
    </row>
    <row r="1232" spans="15:17" x14ac:dyDescent="0.3">
      <c r="O1232" s="24"/>
      <c r="P1232" s="24"/>
      <c r="Q1232" s="24"/>
    </row>
    <row r="1233" spans="15:17" x14ac:dyDescent="0.3">
      <c r="O1233" s="24"/>
      <c r="P1233" s="24"/>
      <c r="Q1233" s="24"/>
    </row>
    <row r="1234" spans="15:17" x14ac:dyDescent="0.3">
      <c r="O1234" s="24"/>
      <c r="P1234" s="24"/>
      <c r="Q1234" s="24"/>
    </row>
    <row r="1235" spans="15:17" x14ac:dyDescent="0.3">
      <c r="O1235" s="24"/>
      <c r="P1235" s="24"/>
      <c r="Q1235" s="24"/>
    </row>
    <row r="1236" spans="15:17" x14ac:dyDescent="0.3">
      <c r="O1236" s="24"/>
      <c r="P1236" s="24"/>
      <c r="Q1236" s="24"/>
    </row>
    <row r="1237" spans="15:17" x14ac:dyDescent="0.3">
      <c r="O1237" s="24"/>
      <c r="P1237" s="24"/>
      <c r="Q1237" s="24"/>
    </row>
    <row r="1238" spans="15:17" x14ac:dyDescent="0.3">
      <c r="O1238" s="24"/>
      <c r="P1238" s="24"/>
      <c r="Q1238" s="24"/>
    </row>
    <row r="1239" spans="15:17" x14ac:dyDescent="0.3">
      <c r="O1239" s="24"/>
      <c r="P1239" s="24"/>
      <c r="Q1239" s="24"/>
    </row>
    <row r="1240" spans="15:17" x14ac:dyDescent="0.3">
      <c r="O1240" s="24"/>
      <c r="P1240" s="24"/>
      <c r="Q1240" s="24"/>
    </row>
    <row r="1241" spans="15:17" x14ac:dyDescent="0.3">
      <c r="O1241" s="24"/>
      <c r="P1241" s="24"/>
      <c r="Q1241" s="24"/>
    </row>
    <row r="1242" spans="15:17" x14ac:dyDescent="0.3">
      <c r="O1242" s="24"/>
      <c r="P1242" s="24"/>
      <c r="Q1242" s="24"/>
    </row>
    <row r="1243" spans="15:17" x14ac:dyDescent="0.3">
      <c r="O1243" s="24"/>
      <c r="P1243" s="24"/>
      <c r="Q1243" s="24"/>
    </row>
    <row r="1244" spans="15:17" x14ac:dyDescent="0.3">
      <c r="O1244" s="24"/>
      <c r="P1244" s="24"/>
      <c r="Q1244" s="24"/>
    </row>
    <row r="1245" spans="15:17" x14ac:dyDescent="0.3">
      <c r="O1245" s="24"/>
      <c r="P1245" s="24"/>
      <c r="Q1245" s="24"/>
    </row>
    <row r="1246" spans="15:17" x14ac:dyDescent="0.3">
      <c r="O1246" s="24"/>
      <c r="P1246" s="24"/>
      <c r="Q1246" s="24"/>
    </row>
    <row r="1247" spans="15:17" x14ac:dyDescent="0.3">
      <c r="O1247" s="24"/>
      <c r="P1247" s="24"/>
      <c r="Q1247" s="24"/>
    </row>
    <row r="1248" spans="15:17" x14ac:dyDescent="0.3">
      <c r="O1248" s="24"/>
      <c r="P1248" s="24"/>
      <c r="Q1248" s="24"/>
    </row>
    <row r="1249" spans="15:17" x14ac:dyDescent="0.3">
      <c r="O1249" s="24"/>
      <c r="P1249" s="24"/>
      <c r="Q1249" s="24"/>
    </row>
    <row r="1250" spans="15:17" x14ac:dyDescent="0.3">
      <c r="O1250" s="24"/>
      <c r="P1250" s="24"/>
      <c r="Q1250" s="24"/>
    </row>
    <row r="1251" spans="15:17" x14ac:dyDescent="0.3">
      <c r="O1251" s="24"/>
      <c r="P1251" s="24"/>
      <c r="Q1251" s="24"/>
    </row>
    <row r="1252" spans="15:17" x14ac:dyDescent="0.3">
      <c r="O1252" s="24"/>
      <c r="P1252" s="24"/>
      <c r="Q1252" s="24"/>
    </row>
    <row r="1253" spans="15:17" x14ac:dyDescent="0.3">
      <c r="O1253" s="24"/>
      <c r="P1253" s="24"/>
      <c r="Q1253" s="24"/>
    </row>
    <row r="1254" spans="15:17" x14ac:dyDescent="0.3">
      <c r="O1254" s="24"/>
      <c r="P1254" s="24"/>
      <c r="Q1254" s="24"/>
    </row>
    <row r="1255" spans="15:17" x14ac:dyDescent="0.3">
      <c r="O1255" s="24"/>
      <c r="P1255" s="24"/>
      <c r="Q1255" s="24"/>
    </row>
    <row r="1256" spans="15:17" x14ac:dyDescent="0.3">
      <c r="O1256" s="24"/>
      <c r="P1256" s="24"/>
      <c r="Q1256" s="24"/>
    </row>
    <row r="1257" spans="15:17" x14ac:dyDescent="0.3">
      <c r="O1257" s="24"/>
      <c r="P1257" s="24"/>
      <c r="Q1257" s="24"/>
    </row>
    <row r="1258" spans="15:17" x14ac:dyDescent="0.3">
      <c r="O1258" s="24"/>
      <c r="P1258" s="24"/>
      <c r="Q1258" s="24"/>
    </row>
    <row r="1259" spans="15:17" x14ac:dyDescent="0.3">
      <c r="O1259" s="24"/>
      <c r="P1259" s="24"/>
      <c r="Q1259" s="24"/>
    </row>
    <row r="1260" spans="15:17" x14ac:dyDescent="0.3">
      <c r="O1260" s="24"/>
      <c r="P1260" s="24"/>
      <c r="Q1260" s="24"/>
    </row>
    <row r="1261" spans="15:17" x14ac:dyDescent="0.3">
      <c r="O1261" s="24"/>
      <c r="P1261" s="24"/>
      <c r="Q1261" s="24"/>
    </row>
    <row r="1262" spans="15:17" x14ac:dyDescent="0.3">
      <c r="O1262" s="24"/>
      <c r="P1262" s="24"/>
      <c r="Q1262" s="24"/>
    </row>
    <row r="1263" spans="15:17" x14ac:dyDescent="0.3">
      <c r="O1263" s="24"/>
      <c r="P1263" s="24"/>
      <c r="Q1263" s="24"/>
    </row>
    <row r="1264" spans="15:17" x14ac:dyDescent="0.3">
      <c r="O1264" s="24"/>
      <c r="P1264" s="24"/>
      <c r="Q1264" s="24"/>
    </row>
    <row r="1265" spans="15:17" x14ac:dyDescent="0.3">
      <c r="O1265" s="24"/>
      <c r="P1265" s="24"/>
      <c r="Q1265" s="24"/>
    </row>
    <row r="1266" spans="15:17" x14ac:dyDescent="0.3">
      <c r="O1266" s="24"/>
      <c r="P1266" s="24"/>
      <c r="Q1266" s="24"/>
    </row>
    <row r="1267" spans="15:17" x14ac:dyDescent="0.3">
      <c r="O1267" s="24"/>
      <c r="P1267" s="24"/>
      <c r="Q1267" s="24"/>
    </row>
    <row r="1268" spans="15:17" x14ac:dyDescent="0.3">
      <c r="O1268" s="24"/>
      <c r="P1268" s="24"/>
      <c r="Q1268" s="24"/>
    </row>
    <row r="1269" spans="15:17" x14ac:dyDescent="0.3">
      <c r="O1269" s="24"/>
      <c r="P1269" s="24"/>
      <c r="Q1269" s="24"/>
    </row>
    <row r="1270" spans="15:17" x14ac:dyDescent="0.3">
      <c r="O1270" s="24"/>
      <c r="P1270" s="24"/>
      <c r="Q1270" s="24"/>
    </row>
    <row r="1271" spans="15:17" x14ac:dyDescent="0.3">
      <c r="O1271" s="24"/>
      <c r="P1271" s="24"/>
      <c r="Q1271" s="24"/>
    </row>
    <row r="1272" spans="15:17" x14ac:dyDescent="0.3">
      <c r="O1272" s="24"/>
      <c r="P1272" s="24"/>
      <c r="Q1272" s="24"/>
    </row>
    <row r="1273" spans="15:17" x14ac:dyDescent="0.3">
      <c r="O1273" s="24"/>
      <c r="P1273" s="24"/>
      <c r="Q1273" s="24"/>
    </row>
    <row r="1274" spans="15:17" x14ac:dyDescent="0.3">
      <c r="O1274" s="24"/>
      <c r="P1274" s="24"/>
      <c r="Q1274" s="24"/>
    </row>
    <row r="1275" spans="15:17" x14ac:dyDescent="0.3">
      <c r="O1275" s="24"/>
      <c r="P1275" s="24"/>
      <c r="Q1275" s="24"/>
    </row>
    <row r="1276" spans="15:17" x14ac:dyDescent="0.3">
      <c r="O1276" s="24"/>
      <c r="P1276" s="24"/>
      <c r="Q1276" s="24"/>
    </row>
    <row r="1277" spans="15:17" x14ac:dyDescent="0.3">
      <c r="O1277" s="24"/>
      <c r="P1277" s="24"/>
      <c r="Q1277" s="24"/>
    </row>
    <row r="1278" spans="15:17" x14ac:dyDescent="0.3">
      <c r="O1278" s="24"/>
      <c r="P1278" s="24"/>
      <c r="Q1278" s="24"/>
    </row>
    <row r="1279" spans="15:17" x14ac:dyDescent="0.3">
      <c r="O1279" s="24"/>
      <c r="P1279" s="24"/>
      <c r="Q1279" s="24"/>
    </row>
    <row r="1280" spans="15:17" x14ac:dyDescent="0.3">
      <c r="O1280" s="24"/>
      <c r="P1280" s="24"/>
      <c r="Q1280" s="24"/>
    </row>
    <row r="1281" spans="15:17" x14ac:dyDescent="0.3">
      <c r="O1281" s="24"/>
      <c r="P1281" s="24"/>
      <c r="Q1281" s="24"/>
    </row>
    <row r="1282" spans="15:17" x14ac:dyDescent="0.3">
      <c r="O1282" s="24"/>
      <c r="P1282" s="24"/>
      <c r="Q1282" s="24"/>
    </row>
    <row r="1283" spans="15:17" x14ac:dyDescent="0.3">
      <c r="O1283" s="24"/>
      <c r="P1283" s="24"/>
      <c r="Q1283" s="24"/>
    </row>
    <row r="1284" spans="15:17" x14ac:dyDescent="0.3">
      <c r="O1284" s="24"/>
      <c r="P1284" s="24"/>
      <c r="Q1284" s="24"/>
    </row>
    <row r="1285" spans="15:17" x14ac:dyDescent="0.3">
      <c r="O1285" s="24"/>
      <c r="P1285" s="24"/>
      <c r="Q1285" s="24"/>
    </row>
    <row r="1286" spans="15:17" x14ac:dyDescent="0.3">
      <c r="O1286" s="24"/>
      <c r="P1286" s="24"/>
      <c r="Q1286" s="24"/>
    </row>
    <row r="1287" spans="15:17" x14ac:dyDescent="0.3">
      <c r="O1287" s="24"/>
      <c r="P1287" s="24"/>
      <c r="Q1287" s="24"/>
    </row>
    <row r="1288" spans="15:17" x14ac:dyDescent="0.3">
      <c r="O1288" s="24"/>
      <c r="P1288" s="24"/>
      <c r="Q1288" s="24"/>
    </row>
    <row r="1289" spans="15:17" x14ac:dyDescent="0.3">
      <c r="O1289" s="24"/>
      <c r="P1289" s="24"/>
      <c r="Q1289" s="24"/>
    </row>
    <row r="1290" spans="15:17" x14ac:dyDescent="0.3">
      <c r="O1290" s="24"/>
      <c r="P1290" s="24"/>
      <c r="Q1290" s="24"/>
    </row>
    <row r="1291" spans="15:17" x14ac:dyDescent="0.3">
      <c r="O1291" s="24"/>
      <c r="P1291" s="24"/>
      <c r="Q1291" s="24"/>
    </row>
    <row r="1292" spans="15:17" x14ac:dyDescent="0.3">
      <c r="O1292" s="24"/>
      <c r="P1292" s="24"/>
      <c r="Q1292" s="24"/>
    </row>
    <row r="1293" spans="15:17" x14ac:dyDescent="0.3">
      <c r="O1293" s="24"/>
      <c r="P1293" s="24"/>
      <c r="Q1293" s="24"/>
    </row>
    <row r="1294" spans="15:17" x14ac:dyDescent="0.3">
      <c r="O1294" s="24"/>
      <c r="P1294" s="24"/>
      <c r="Q1294" s="24"/>
    </row>
    <row r="1295" spans="15:17" x14ac:dyDescent="0.3">
      <c r="O1295" s="24"/>
      <c r="P1295" s="24"/>
      <c r="Q1295" s="24"/>
    </row>
    <row r="1296" spans="15:17" x14ac:dyDescent="0.3">
      <c r="O1296" s="24"/>
      <c r="P1296" s="24"/>
      <c r="Q1296" s="24"/>
    </row>
    <row r="1297" spans="15:17" x14ac:dyDescent="0.3">
      <c r="O1297" s="24"/>
      <c r="P1297" s="24"/>
      <c r="Q1297" s="24"/>
    </row>
    <row r="1298" spans="15:17" x14ac:dyDescent="0.3">
      <c r="O1298" s="24"/>
      <c r="P1298" s="24"/>
      <c r="Q1298" s="24"/>
    </row>
    <row r="1299" spans="15:17" x14ac:dyDescent="0.3">
      <c r="O1299" s="24"/>
      <c r="P1299" s="24"/>
      <c r="Q1299" s="24"/>
    </row>
    <row r="1300" spans="15:17" x14ac:dyDescent="0.3">
      <c r="O1300" s="24"/>
      <c r="P1300" s="24"/>
      <c r="Q1300" s="24"/>
    </row>
    <row r="1301" spans="15:17" x14ac:dyDescent="0.3">
      <c r="O1301" s="24"/>
      <c r="P1301" s="24"/>
      <c r="Q1301" s="24"/>
    </row>
    <row r="1302" spans="15:17" x14ac:dyDescent="0.3">
      <c r="O1302" s="24"/>
      <c r="P1302" s="24"/>
      <c r="Q1302" s="24"/>
    </row>
    <row r="1303" spans="15:17" x14ac:dyDescent="0.3">
      <c r="O1303" s="24"/>
      <c r="P1303" s="24"/>
      <c r="Q1303" s="24"/>
    </row>
    <row r="1304" spans="15:17" x14ac:dyDescent="0.3">
      <c r="O1304" s="24"/>
      <c r="P1304" s="24"/>
      <c r="Q1304" s="24"/>
    </row>
    <row r="1305" spans="15:17" x14ac:dyDescent="0.3">
      <c r="O1305" s="24"/>
      <c r="P1305" s="24"/>
      <c r="Q1305" s="24"/>
    </row>
    <row r="1306" spans="15:17" x14ac:dyDescent="0.3">
      <c r="O1306" s="24"/>
      <c r="P1306" s="24"/>
      <c r="Q1306" s="24"/>
    </row>
    <row r="1307" spans="15:17" x14ac:dyDescent="0.3">
      <c r="O1307" s="24"/>
      <c r="P1307" s="24"/>
      <c r="Q1307" s="24"/>
    </row>
    <row r="1308" spans="15:17" x14ac:dyDescent="0.3">
      <c r="O1308" s="24"/>
      <c r="P1308" s="24"/>
      <c r="Q1308" s="24"/>
    </row>
    <row r="1309" spans="15:17" x14ac:dyDescent="0.3">
      <c r="O1309" s="24"/>
      <c r="P1309" s="24"/>
      <c r="Q1309" s="24"/>
    </row>
    <row r="1310" spans="15:17" x14ac:dyDescent="0.3">
      <c r="O1310" s="24"/>
      <c r="P1310" s="24"/>
      <c r="Q1310" s="24"/>
    </row>
    <row r="1311" spans="15:17" x14ac:dyDescent="0.3">
      <c r="O1311" s="24"/>
      <c r="P1311" s="24"/>
      <c r="Q1311" s="24"/>
    </row>
    <row r="1312" spans="15:17" x14ac:dyDescent="0.3">
      <c r="O1312" s="24"/>
      <c r="P1312" s="24"/>
      <c r="Q1312" s="24"/>
    </row>
    <row r="1313" spans="15:17" x14ac:dyDescent="0.3">
      <c r="O1313" s="24"/>
      <c r="P1313" s="24"/>
      <c r="Q1313" s="24"/>
    </row>
    <row r="1314" spans="15:17" x14ac:dyDescent="0.3">
      <c r="O1314" s="24"/>
      <c r="P1314" s="24"/>
      <c r="Q1314" s="24"/>
    </row>
    <row r="1315" spans="15:17" x14ac:dyDescent="0.3">
      <c r="O1315" s="24"/>
      <c r="P1315" s="24"/>
      <c r="Q1315" s="24"/>
    </row>
    <row r="1316" spans="15:17" x14ac:dyDescent="0.3">
      <c r="O1316" s="24"/>
      <c r="P1316" s="24"/>
      <c r="Q1316" s="24"/>
    </row>
    <row r="1317" spans="15:17" x14ac:dyDescent="0.3">
      <c r="O1317" s="24"/>
      <c r="P1317" s="24"/>
      <c r="Q1317" s="24"/>
    </row>
    <row r="1318" spans="15:17" x14ac:dyDescent="0.3">
      <c r="O1318" s="24"/>
      <c r="P1318" s="24"/>
      <c r="Q1318" s="24"/>
    </row>
    <row r="1319" spans="15:17" x14ac:dyDescent="0.3">
      <c r="O1319" s="24"/>
      <c r="P1319" s="24"/>
      <c r="Q1319" s="24"/>
    </row>
    <row r="1320" spans="15:17" x14ac:dyDescent="0.3">
      <c r="O1320" s="24"/>
      <c r="P1320" s="24"/>
      <c r="Q1320" s="24"/>
    </row>
    <row r="1321" spans="15:17" x14ac:dyDescent="0.3">
      <c r="O1321" s="24"/>
      <c r="P1321" s="24"/>
      <c r="Q1321" s="24"/>
    </row>
    <row r="1322" spans="15:17" x14ac:dyDescent="0.3">
      <c r="O1322" s="24"/>
      <c r="P1322" s="24"/>
      <c r="Q1322" s="24"/>
    </row>
    <row r="1323" spans="15:17" x14ac:dyDescent="0.3">
      <c r="O1323" s="24"/>
      <c r="P1323" s="24"/>
      <c r="Q1323" s="24"/>
    </row>
    <row r="1324" spans="15:17" x14ac:dyDescent="0.3">
      <c r="O1324" s="24"/>
      <c r="P1324" s="24"/>
      <c r="Q1324" s="24"/>
    </row>
    <row r="1325" spans="15:17" x14ac:dyDescent="0.3">
      <c r="O1325" s="24"/>
      <c r="P1325" s="24"/>
      <c r="Q1325" s="24"/>
    </row>
    <row r="1326" spans="15:17" x14ac:dyDescent="0.3">
      <c r="O1326" s="24"/>
      <c r="P1326" s="24"/>
      <c r="Q1326" s="24"/>
    </row>
    <row r="1327" spans="15:17" x14ac:dyDescent="0.3">
      <c r="O1327" s="24"/>
      <c r="P1327" s="24"/>
      <c r="Q1327" s="24"/>
    </row>
    <row r="1328" spans="15:17" x14ac:dyDescent="0.3">
      <c r="O1328" s="24"/>
      <c r="P1328" s="24"/>
      <c r="Q1328" s="24"/>
    </row>
    <row r="1329" spans="15:17" x14ac:dyDescent="0.3">
      <c r="O1329" s="24"/>
      <c r="P1329" s="24"/>
      <c r="Q1329" s="24"/>
    </row>
    <row r="1330" spans="15:17" x14ac:dyDescent="0.3">
      <c r="O1330" s="24"/>
      <c r="P1330" s="24"/>
      <c r="Q1330" s="24"/>
    </row>
    <row r="1331" spans="15:17" x14ac:dyDescent="0.3">
      <c r="O1331" s="24"/>
      <c r="P1331" s="24"/>
      <c r="Q1331" s="24"/>
    </row>
    <row r="1332" spans="15:17" x14ac:dyDescent="0.3">
      <c r="O1332" s="24"/>
      <c r="P1332" s="24"/>
      <c r="Q1332" s="24"/>
    </row>
    <row r="1333" spans="15:17" x14ac:dyDescent="0.3">
      <c r="O1333" s="24"/>
      <c r="P1333" s="24"/>
      <c r="Q1333" s="24"/>
    </row>
    <row r="1334" spans="15:17" x14ac:dyDescent="0.3">
      <c r="O1334" s="24"/>
      <c r="P1334" s="24"/>
      <c r="Q1334" s="24"/>
    </row>
    <row r="1335" spans="15:17" x14ac:dyDescent="0.3">
      <c r="O1335" s="24"/>
      <c r="P1335" s="24"/>
      <c r="Q1335" s="24"/>
    </row>
    <row r="1336" spans="15:17" x14ac:dyDescent="0.3">
      <c r="O1336" s="24"/>
      <c r="P1336" s="24"/>
      <c r="Q1336" s="24"/>
    </row>
    <row r="1337" spans="15:17" x14ac:dyDescent="0.3">
      <c r="O1337" s="24"/>
      <c r="P1337" s="24"/>
      <c r="Q1337" s="24"/>
    </row>
    <row r="1338" spans="15:17" x14ac:dyDescent="0.3">
      <c r="O1338" s="24"/>
      <c r="P1338" s="24"/>
      <c r="Q1338" s="24"/>
    </row>
    <row r="1339" spans="15:17" x14ac:dyDescent="0.3">
      <c r="O1339" s="24"/>
      <c r="P1339" s="24"/>
      <c r="Q1339" s="24"/>
    </row>
    <row r="1340" spans="15:17" x14ac:dyDescent="0.3">
      <c r="O1340" s="24"/>
      <c r="P1340" s="24"/>
      <c r="Q1340" s="24"/>
    </row>
    <row r="1341" spans="15:17" x14ac:dyDescent="0.3">
      <c r="O1341" s="24"/>
      <c r="P1341" s="24"/>
      <c r="Q1341" s="24"/>
    </row>
    <row r="1342" spans="15:17" x14ac:dyDescent="0.3">
      <c r="O1342" s="24"/>
      <c r="P1342" s="24"/>
      <c r="Q1342" s="24"/>
    </row>
    <row r="1343" spans="15:17" x14ac:dyDescent="0.3">
      <c r="O1343" s="24"/>
      <c r="P1343" s="24"/>
      <c r="Q1343" s="24"/>
    </row>
    <row r="1344" spans="15:17" x14ac:dyDescent="0.3">
      <c r="O1344" s="24"/>
      <c r="P1344" s="24"/>
      <c r="Q1344" s="24"/>
    </row>
    <row r="1345" spans="15:17" x14ac:dyDescent="0.3">
      <c r="O1345" s="24"/>
      <c r="P1345" s="24"/>
      <c r="Q1345" s="24"/>
    </row>
    <row r="1346" spans="15:17" x14ac:dyDescent="0.3">
      <c r="O1346" s="24"/>
      <c r="P1346" s="24"/>
      <c r="Q1346" s="24"/>
    </row>
    <row r="1347" spans="15:17" x14ac:dyDescent="0.3">
      <c r="O1347" s="24"/>
      <c r="P1347" s="24"/>
      <c r="Q1347" s="24"/>
    </row>
    <row r="1348" spans="15:17" x14ac:dyDescent="0.3">
      <c r="O1348" s="24"/>
      <c r="P1348" s="24"/>
      <c r="Q1348" s="24"/>
    </row>
    <row r="1349" spans="15:17" x14ac:dyDescent="0.3">
      <c r="O1349" s="24"/>
      <c r="P1349" s="24"/>
      <c r="Q1349" s="24"/>
    </row>
    <row r="1350" spans="15:17" x14ac:dyDescent="0.3">
      <c r="O1350" s="24"/>
      <c r="P1350" s="24"/>
      <c r="Q1350" s="24"/>
    </row>
    <row r="1351" spans="15:17" x14ac:dyDescent="0.3">
      <c r="O1351" s="24"/>
      <c r="P1351" s="24"/>
      <c r="Q1351" s="24"/>
    </row>
    <row r="1352" spans="15:17" x14ac:dyDescent="0.3">
      <c r="O1352" s="24"/>
      <c r="P1352" s="24"/>
      <c r="Q1352" s="24"/>
    </row>
    <row r="1353" spans="15:17" x14ac:dyDescent="0.3">
      <c r="O1353" s="24"/>
      <c r="P1353" s="24"/>
      <c r="Q1353" s="24"/>
    </row>
    <row r="1354" spans="15:17" x14ac:dyDescent="0.3">
      <c r="O1354" s="24"/>
      <c r="P1354" s="24"/>
      <c r="Q1354" s="24"/>
    </row>
    <row r="1355" spans="15:17" x14ac:dyDescent="0.3">
      <c r="O1355" s="24"/>
      <c r="P1355" s="24"/>
      <c r="Q1355" s="24"/>
    </row>
    <row r="1356" spans="15:17" x14ac:dyDescent="0.3">
      <c r="O1356" s="24"/>
      <c r="P1356" s="24"/>
      <c r="Q1356" s="24"/>
    </row>
    <row r="1357" spans="15:17" x14ac:dyDescent="0.3">
      <c r="O1357" s="24"/>
      <c r="P1357" s="24"/>
      <c r="Q1357" s="24"/>
    </row>
    <row r="1358" spans="15:17" x14ac:dyDescent="0.3">
      <c r="O1358" s="24"/>
      <c r="P1358" s="24"/>
      <c r="Q1358" s="24"/>
    </row>
    <row r="1359" spans="15:17" x14ac:dyDescent="0.3">
      <c r="O1359" s="24"/>
      <c r="P1359" s="24"/>
      <c r="Q1359" s="24"/>
    </row>
    <row r="1360" spans="15:17" x14ac:dyDescent="0.3">
      <c r="O1360" s="24"/>
      <c r="P1360" s="24"/>
      <c r="Q1360" s="24"/>
    </row>
    <row r="1361" spans="15:17" x14ac:dyDescent="0.3">
      <c r="O1361" s="24"/>
      <c r="P1361" s="24"/>
      <c r="Q1361" s="24"/>
    </row>
    <row r="1362" spans="15:17" x14ac:dyDescent="0.3">
      <c r="O1362" s="24"/>
      <c r="P1362" s="24"/>
      <c r="Q1362" s="24"/>
    </row>
    <row r="1363" spans="15:17" x14ac:dyDescent="0.3">
      <c r="O1363" s="24"/>
      <c r="P1363" s="24"/>
      <c r="Q1363" s="24"/>
    </row>
    <row r="1364" spans="15:17" x14ac:dyDescent="0.3">
      <c r="O1364" s="24"/>
      <c r="P1364" s="24"/>
      <c r="Q1364" s="24"/>
    </row>
    <row r="1365" spans="15:17" x14ac:dyDescent="0.3">
      <c r="O1365" s="24"/>
      <c r="P1365" s="24"/>
      <c r="Q1365" s="24"/>
    </row>
    <row r="1366" spans="15:17" x14ac:dyDescent="0.3">
      <c r="O1366" s="24"/>
      <c r="P1366" s="24"/>
      <c r="Q1366" s="24"/>
    </row>
    <row r="1367" spans="15:17" x14ac:dyDescent="0.3">
      <c r="O1367" s="24"/>
      <c r="P1367" s="24"/>
      <c r="Q1367" s="24"/>
    </row>
    <row r="1368" spans="15:17" x14ac:dyDescent="0.3">
      <c r="O1368" s="24"/>
      <c r="P1368" s="24"/>
      <c r="Q1368" s="24"/>
    </row>
    <row r="1369" spans="15:17" x14ac:dyDescent="0.3">
      <c r="O1369" s="24"/>
      <c r="P1369" s="24"/>
      <c r="Q1369" s="24"/>
    </row>
    <row r="1370" spans="15:17" x14ac:dyDescent="0.3">
      <c r="O1370" s="24"/>
      <c r="P1370" s="24"/>
      <c r="Q1370" s="24"/>
    </row>
    <row r="1371" spans="15:17" x14ac:dyDescent="0.3">
      <c r="O1371" s="24"/>
      <c r="P1371" s="24"/>
      <c r="Q1371" s="24"/>
    </row>
    <row r="1372" spans="15:17" x14ac:dyDescent="0.3">
      <c r="O1372" s="24"/>
      <c r="P1372" s="24"/>
      <c r="Q1372" s="24"/>
    </row>
    <row r="1373" spans="15:17" x14ac:dyDescent="0.3">
      <c r="O1373" s="24"/>
      <c r="P1373" s="24"/>
      <c r="Q1373" s="24"/>
    </row>
    <row r="1374" spans="15:17" x14ac:dyDescent="0.3">
      <c r="O1374" s="24"/>
      <c r="P1374" s="24"/>
      <c r="Q1374" s="24"/>
    </row>
    <row r="1375" spans="15:17" x14ac:dyDescent="0.3">
      <c r="O1375" s="24"/>
      <c r="P1375" s="24"/>
      <c r="Q1375" s="24"/>
    </row>
    <row r="1376" spans="15:17" x14ac:dyDescent="0.3">
      <c r="O1376" s="24"/>
      <c r="P1376" s="24"/>
      <c r="Q1376" s="24"/>
    </row>
    <row r="1377" spans="15:17" x14ac:dyDescent="0.3">
      <c r="O1377" s="24"/>
      <c r="P1377" s="24"/>
      <c r="Q1377" s="24"/>
    </row>
    <row r="1378" spans="15:17" x14ac:dyDescent="0.3">
      <c r="O1378" s="24"/>
      <c r="P1378" s="24"/>
      <c r="Q1378" s="24"/>
    </row>
    <row r="1379" spans="15:17" x14ac:dyDescent="0.3">
      <c r="O1379" s="24"/>
      <c r="P1379" s="24"/>
      <c r="Q1379" s="24"/>
    </row>
    <row r="1380" spans="15:17" x14ac:dyDescent="0.3">
      <c r="O1380" s="24"/>
      <c r="P1380" s="24"/>
      <c r="Q1380" s="24"/>
    </row>
    <row r="1381" spans="15:17" x14ac:dyDescent="0.3">
      <c r="O1381" s="24"/>
      <c r="P1381" s="24"/>
      <c r="Q1381" s="24"/>
    </row>
    <row r="1382" spans="15:17" x14ac:dyDescent="0.3">
      <c r="O1382" s="24"/>
      <c r="P1382" s="24"/>
      <c r="Q1382" s="24"/>
    </row>
    <row r="1383" spans="15:17" x14ac:dyDescent="0.3">
      <c r="O1383" s="24"/>
      <c r="P1383" s="24"/>
      <c r="Q1383" s="24"/>
    </row>
    <row r="1384" spans="15:17" x14ac:dyDescent="0.3">
      <c r="O1384" s="24"/>
      <c r="P1384" s="24"/>
      <c r="Q1384" s="24"/>
    </row>
    <row r="1385" spans="15:17" x14ac:dyDescent="0.3">
      <c r="O1385" s="24"/>
      <c r="P1385" s="24"/>
      <c r="Q1385" s="24"/>
    </row>
    <row r="1386" spans="15:17" x14ac:dyDescent="0.3">
      <c r="O1386" s="24"/>
      <c r="P1386" s="24"/>
      <c r="Q1386" s="24"/>
    </row>
    <row r="1387" spans="15:17" x14ac:dyDescent="0.3">
      <c r="O1387" s="24"/>
      <c r="P1387" s="24"/>
      <c r="Q1387" s="24"/>
    </row>
    <row r="1388" spans="15:17" x14ac:dyDescent="0.3">
      <c r="O1388" s="24"/>
      <c r="P1388" s="24"/>
      <c r="Q1388" s="24"/>
    </row>
    <row r="1389" spans="15:17" x14ac:dyDescent="0.3">
      <c r="O1389" s="24"/>
      <c r="P1389" s="24"/>
      <c r="Q1389" s="24"/>
    </row>
    <row r="1390" spans="15:17" x14ac:dyDescent="0.3">
      <c r="O1390" s="24"/>
      <c r="P1390" s="24"/>
      <c r="Q1390" s="24"/>
    </row>
    <row r="1391" spans="15:17" x14ac:dyDescent="0.3">
      <c r="O1391" s="24"/>
      <c r="P1391" s="24"/>
      <c r="Q1391" s="24"/>
    </row>
    <row r="1392" spans="15:17" x14ac:dyDescent="0.3">
      <c r="O1392" s="24"/>
      <c r="P1392" s="24"/>
      <c r="Q1392" s="24"/>
    </row>
    <row r="1393" spans="15:17" x14ac:dyDescent="0.3">
      <c r="O1393" s="24"/>
      <c r="P1393" s="24"/>
      <c r="Q1393" s="24"/>
    </row>
    <row r="1394" spans="15:17" x14ac:dyDescent="0.3">
      <c r="O1394" s="24"/>
      <c r="P1394" s="24"/>
      <c r="Q1394" s="24"/>
    </row>
    <row r="1395" spans="15:17" x14ac:dyDescent="0.3">
      <c r="O1395" s="24"/>
      <c r="P1395" s="24"/>
      <c r="Q1395" s="24"/>
    </row>
    <row r="1396" spans="15:17" x14ac:dyDescent="0.3">
      <c r="O1396" s="24"/>
      <c r="P1396" s="24"/>
      <c r="Q1396" s="24"/>
    </row>
    <row r="1397" spans="15:17" x14ac:dyDescent="0.3">
      <c r="O1397" s="24"/>
      <c r="P1397" s="24"/>
      <c r="Q1397" s="24"/>
    </row>
    <row r="1398" spans="15:17" x14ac:dyDescent="0.3">
      <c r="O1398" s="24"/>
      <c r="P1398" s="24"/>
      <c r="Q1398" s="24"/>
    </row>
    <row r="1399" spans="15:17" x14ac:dyDescent="0.3">
      <c r="O1399" s="24"/>
      <c r="P1399" s="24"/>
      <c r="Q1399" s="24"/>
    </row>
    <row r="1400" spans="15:17" x14ac:dyDescent="0.3">
      <c r="O1400" s="24"/>
      <c r="P1400" s="24"/>
      <c r="Q1400" s="24"/>
    </row>
    <row r="1401" spans="15:17" x14ac:dyDescent="0.3">
      <c r="O1401" s="24"/>
      <c r="P1401" s="24"/>
      <c r="Q1401" s="24"/>
    </row>
    <row r="1402" spans="15:17" x14ac:dyDescent="0.3">
      <c r="O1402" s="24"/>
      <c r="P1402" s="24"/>
      <c r="Q1402" s="24"/>
    </row>
    <row r="1403" spans="15:17" x14ac:dyDescent="0.3">
      <c r="O1403" s="24"/>
      <c r="P1403" s="24"/>
      <c r="Q1403" s="24"/>
    </row>
    <row r="1404" spans="15:17" x14ac:dyDescent="0.3">
      <c r="O1404" s="24"/>
      <c r="P1404" s="24"/>
      <c r="Q1404" s="24"/>
    </row>
    <row r="1405" spans="15:17" x14ac:dyDescent="0.3">
      <c r="O1405" s="24"/>
      <c r="P1405" s="24"/>
      <c r="Q1405" s="24"/>
    </row>
    <row r="1406" spans="15:17" x14ac:dyDescent="0.3">
      <c r="O1406" s="24"/>
      <c r="P1406" s="24"/>
      <c r="Q1406" s="24"/>
    </row>
    <row r="1407" spans="15:17" x14ac:dyDescent="0.3">
      <c r="O1407" s="24"/>
      <c r="P1407" s="24"/>
      <c r="Q1407" s="24"/>
    </row>
    <row r="1408" spans="15:17" x14ac:dyDescent="0.3">
      <c r="O1408" s="24"/>
      <c r="P1408" s="24"/>
      <c r="Q1408" s="24"/>
    </row>
    <row r="1409" spans="15:17" x14ac:dyDescent="0.3">
      <c r="O1409" s="24"/>
      <c r="P1409" s="24"/>
      <c r="Q1409" s="24"/>
    </row>
    <row r="1410" spans="15:17" x14ac:dyDescent="0.3">
      <c r="O1410" s="24"/>
      <c r="P1410" s="24"/>
      <c r="Q1410" s="24"/>
    </row>
    <row r="1411" spans="15:17" x14ac:dyDescent="0.3">
      <c r="O1411" s="24"/>
      <c r="P1411" s="24"/>
      <c r="Q1411" s="24"/>
    </row>
    <row r="1412" spans="15:17" x14ac:dyDescent="0.3">
      <c r="O1412" s="24"/>
      <c r="P1412" s="24"/>
      <c r="Q1412" s="24"/>
    </row>
    <row r="1413" spans="15:17" x14ac:dyDescent="0.3">
      <c r="O1413" s="24"/>
      <c r="P1413" s="24"/>
      <c r="Q1413" s="24"/>
    </row>
    <row r="1414" spans="15:17" x14ac:dyDescent="0.3">
      <c r="O1414" s="24"/>
      <c r="P1414" s="24"/>
      <c r="Q1414" s="24"/>
    </row>
    <row r="1415" spans="15:17" x14ac:dyDescent="0.3">
      <c r="O1415" s="24"/>
      <c r="P1415" s="24"/>
      <c r="Q1415" s="24"/>
    </row>
    <row r="1416" spans="15:17" x14ac:dyDescent="0.3">
      <c r="O1416" s="24"/>
      <c r="P1416" s="24"/>
      <c r="Q1416" s="24"/>
    </row>
    <row r="1417" spans="15:17" x14ac:dyDescent="0.3">
      <c r="O1417" s="24"/>
      <c r="P1417" s="24"/>
      <c r="Q1417" s="24"/>
    </row>
    <row r="1418" spans="15:17" x14ac:dyDescent="0.3">
      <c r="O1418" s="24"/>
      <c r="P1418" s="24"/>
      <c r="Q1418" s="24"/>
    </row>
    <row r="1419" spans="15:17" x14ac:dyDescent="0.3">
      <c r="O1419" s="24"/>
      <c r="P1419" s="24"/>
      <c r="Q1419" s="24"/>
    </row>
    <row r="1420" spans="15:17" x14ac:dyDescent="0.3">
      <c r="O1420" s="24"/>
      <c r="P1420" s="24"/>
      <c r="Q1420" s="24"/>
    </row>
    <row r="1421" spans="15:17" x14ac:dyDescent="0.3">
      <c r="O1421" s="24"/>
      <c r="P1421" s="24"/>
      <c r="Q1421" s="24"/>
    </row>
    <row r="1422" spans="15:17" x14ac:dyDescent="0.3">
      <c r="O1422" s="24"/>
      <c r="P1422" s="24"/>
      <c r="Q1422" s="24"/>
    </row>
    <row r="1423" spans="15:17" x14ac:dyDescent="0.3">
      <c r="O1423" s="24"/>
      <c r="P1423" s="24"/>
      <c r="Q1423" s="24"/>
    </row>
    <row r="1424" spans="15:17" x14ac:dyDescent="0.3">
      <c r="O1424" s="24"/>
      <c r="P1424" s="24"/>
      <c r="Q1424" s="24"/>
    </row>
    <row r="1425" spans="15:17" x14ac:dyDescent="0.3">
      <c r="O1425" s="24"/>
      <c r="P1425" s="24"/>
      <c r="Q1425" s="24"/>
    </row>
    <row r="1426" spans="15:17" x14ac:dyDescent="0.3">
      <c r="O1426" s="24"/>
      <c r="P1426" s="24"/>
      <c r="Q1426" s="24"/>
    </row>
    <row r="1427" spans="15:17" x14ac:dyDescent="0.3">
      <c r="O1427" s="24"/>
      <c r="P1427" s="24"/>
      <c r="Q1427" s="24"/>
    </row>
    <row r="1428" spans="15:17" x14ac:dyDescent="0.3">
      <c r="O1428" s="24"/>
      <c r="P1428" s="24"/>
      <c r="Q1428" s="24"/>
    </row>
    <row r="1429" spans="15:17" x14ac:dyDescent="0.3">
      <c r="O1429" s="24"/>
      <c r="P1429" s="24"/>
      <c r="Q1429" s="24"/>
    </row>
    <row r="1430" spans="15:17" x14ac:dyDescent="0.3">
      <c r="O1430" s="24"/>
      <c r="P1430" s="24"/>
      <c r="Q1430" s="24"/>
    </row>
    <row r="1431" spans="15:17" x14ac:dyDescent="0.3">
      <c r="O1431" s="24"/>
      <c r="P1431" s="24"/>
      <c r="Q1431" s="24"/>
    </row>
    <row r="1432" spans="15:17" x14ac:dyDescent="0.3">
      <c r="O1432" s="24"/>
      <c r="P1432" s="24"/>
      <c r="Q1432" s="24"/>
    </row>
    <row r="1433" spans="15:17" x14ac:dyDescent="0.3">
      <c r="O1433" s="24"/>
      <c r="P1433" s="24"/>
      <c r="Q1433" s="24"/>
    </row>
    <row r="1434" spans="15:17" x14ac:dyDescent="0.3">
      <c r="O1434" s="24"/>
      <c r="P1434" s="24"/>
      <c r="Q1434" s="24"/>
    </row>
    <row r="1435" spans="15:17" x14ac:dyDescent="0.3">
      <c r="O1435" s="24"/>
      <c r="P1435" s="24"/>
      <c r="Q1435" s="24"/>
    </row>
    <row r="1436" spans="15:17" x14ac:dyDescent="0.3">
      <c r="O1436" s="24"/>
      <c r="P1436" s="24"/>
      <c r="Q1436" s="24"/>
    </row>
    <row r="1437" spans="15:17" x14ac:dyDescent="0.3">
      <c r="O1437" s="24"/>
      <c r="P1437" s="24"/>
      <c r="Q1437" s="24"/>
    </row>
    <row r="1438" spans="15:17" x14ac:dyDescent="0.3">
      <c r="O1438" s="24"/>
      <c r="P1438" s="24"/>
      <c r="Q1438" s="24"/>
    </row>
    <row r="1439" spans="15:17" x14ac:dyDescent="0.3">
      <c r="O1439" s="24"/>
      <c r="P1439" s="24"/>
      <c r="Q1439" s="24"/>
    </row>
    <row r="1440" spans="15:17" x14ac:dyDescent="0.3">
      <c r="O1440" s="24"/>
      <c r="P1440" s="24"/>
      <c r="Q1440" s="24"/>
    </row>
    <row r="1441" spans="15:17" x14ac:dyDescent="0.3">
      <c r="O1441" s="24"/>
      <c r="P1441" s="24"/>
      <c r="Q1441" s="24"/>
    </row>
    <row r="1442" spans="15:17" x14ac:dyDescent="0.3">
      <c r="O1442" s="24"/>
      <c r="P1442" s="24"/>
      <c r="Q1442" s="24"/>
    </row>
    <row r="1443" spans="15:17" x14ac:dyDescent="0.3">
      <c r="O1443" s="24"/>
      <c r="P1443" s="24"/>
      <c r="Q1443" s="24"/>
    </row>
    <row r="1444" spans="15:17" x14ac:dyDescent="0.3">
      <c r="O1444" s="24"/>
      <c r="P1444" s="24"/>
      <c r="Q1444" s="24"/>
    </row>
    <row r="1445" spans="15:17" x14ac:dyDescent="0.3">
      <c r="O1445" s="24"/>
      <c r="P1445" s="24"/>
      <c r="Q1445" s="24"/>
    </row>
    <row r="1446" spans="15:17" x14ac:dyDescent="0.3">
      <c r="O1446" s="24"/>
      <c r="P1446" s="24"/>
      <c r="Q1446" s="24"/>
    </row>
    <row r="1447" spans="15:17" x14ac:dyDescent="0.3">
      <c r="O1447" s="24"/>
      <c r="P1447" s="24"/>
      <c r="Q1447" s="24"/>
    </row>
    <row r="1448" spans="15:17" x14ac:dyDescent="0.3">
      <c r="O1448" s="24"/>
      <c r="P1448" s="24"/>
      <c r="Q1448" s="24"/>
    </row>
    <row r="1449" spans="15:17" x14ac:dyDescent="0.3">
      <c r="O1449" s="24"/>
      <c r="P1449" s="24"/>
      <c r="Q1449" s="24"/>
    </row>
    <row r="1450" spans="15:17" x14ac:dyDescent="0.3">
      <c r="O1450" s="24"/>
      <c r="P1450" s="24"/>
      <c r="Q1450" s="24"/>
    </row>
    <row r="1451" spans="15:17" x14ac:dyDescent="0.3">
      <c r="O1451" s="24"/>
      <c r="P1451" s="24"/>
      <c r="Q1451" s="24"/>
    </row>
    <row r="1452" spans="15:17" x14ac:dyDescent="0.3">
      <c r="O1452" s="24"/>
      <c r="P1452" s="24"/>
      <c r="Q1452" s="24"/>
    </row>
    <row r="1453" spans="15:17" x14ac:dyDescent="0.3">
      <c r="O1453" s="24"/>
      <c r="P1453" s="24"/>
      <c r="Q1453" s="24"/>
    </row>
    <row r="1454" spans="15:17" x14ac:dyDescent="0.3">
      <c r="O1454" s="24"/>
      <c r="P1454" s="24"/>
      <c r="Q1454" s="24"/>
    </row>
    <row r="1455" spans="15:17" x14ac:dyDescent="0.3">
      <c r="O1455" s="24"/>
      <c r="P1455" s="24"/>
      <c r="Q1455" s="24"/>
    </row>
    <row r="1456" spans="15:17" x14ac:dyDescent="0.3">
      <c r="O1456" s="24"/>
      <c r="P1456" s="24"/>
      <c r="Q1456" s="24"/>
    </row>
    <row r="1457" spans="15:17" x14ac:dyDescent="0.3">
      <c r="O1457" s="24"/>
      <c r="P1457" s="24"/>
      <c r="Q1457" s="24"/>
    </row>
    <row r="1458" spans="15:17" x14ac:dyDescent="0.3">
      <c r="O1458" s="24"/>
      <c r="P1458" s="24"/>
      <c r="Q1458" s="24"/>
    </row>
    <row r="1459" spans="15:17" x14ac:dyDescent="0.3">
      <c r="O1459" s="24"/>
      <c r="P1459" s="24"/>
      <c r="Q1459" s="24"/>
    </row>
    <row r="1460" spans="15:17" x14ac:dyDescent="0.3">
      <c r="O1460" s="24"/>
      <c r="P1460" s="24"/>
      <c r="Q1460" s="24"/>
    </row>
    <row r="1461" spans="15:17" x14ac:dyDescent="0.3">
      <c r="O1461" s="24"/>
      <c r="P1461" s="24"/>
      <c r="Q1461" s="24"/>
    </row>
    <row r="1462" spans="15:17" x14ac:dyDescent="0.3">
      <c r="O1462" s="24"/>
      <c r="P1462" s="24"/>
      <c r="Q1462" s="24"/>
    </row>
    <row r="1463" spans="15:17" x14ac:dyDescent="0.3">
      <c r="O1463" s="24"/>
      <c r="P1463" s="24"/>
      <c r="Q1463" s="24"/>
    </row>
    <row r="1464" spans="15:17" x14ac:dyDescent="0.3">
      <c r="O1464" s="24"/>
      <c r="P1464" s="24"/>
      <c r="Q1464" s="24"/>
    </row>
    <row r="1465" spans="15:17" x14ac:dyDescent="0.3">
      <c r="O1465" s="24"/>
      <c r="P1465" s="24"/>
      <c r="Q1465" s="24"/>
    </row>
    <row r="1466" spans="15:17" x14ac:dyDescent="0.3">
      <c r="O1466" s="24"/>
      <c r="P1466" s="24"/>
      <c r="Q1466" s="24"/>
    </row>
    <row r="1467" spans="15:17" x14ac:dyDescent="0.3">
      <c r="O1467" s="24"/>
      <c r="P1467" s="24"/>
      <c r="Q1467" s="24"/>
    </row>
    <row r="1468" spans="15:17" x14ac:dyDescent="0.3">
      <c r="O1468" s="24"/>
      <c r="P1468" s="24"/>
      <c r="Q1468" s="24"/>
    </row>
    <row r="1469" spans="15:17" x14ac:dyDescent="0.3">
      <c r="O1469" s="24"/>
      <c r="P1469" s="24"/>
      <c r="Q1469" s="24"/>
    </row>
    <row r="1470" spans="15:17" x14ac:dyDescent="0.3">
      <c r="O1470" s="24"/>
      <c r="P1470" s="24"/>
      <c r="Q1470" s="24"/>
    </row>
    <row r="1471" spans="15:17" x14ac:dyDescent="0.3">
      <c r="O1471" s="24"/>
      <c r="P1471" s="24"/>
      <c r="Q1471" s="24"/>
    </row>
    <row r="1472" spans="15:17" x14ac:dyDescent="0.3">
      <c r="O1472" s="24"/>
      <c r="P1472" s="24"/>
      <c r="Q1472" s="24"/>
    </row>
    <row r="1473" spans="15:17" x14ac:dyDescent="0.3">
      <c r="O1473" s="24"/>
      <c r="P1473" s="24"/>
      <c r="Q1473" s="24"/>
    </row>
    <row r="1474" spans="15:17" x14ac:dyDescent="0.3">
      <c r="O1474" s="24"/>
      <c r="P1474" s="24"/>
      <c r="Q1474" s="24"/>
    </row>
    <row r="1475" spans="15:17" x14ac:dyDescent="0.3">
      <c r="O1475" s="24"/>
      <c r="P1475" s="24"/>
      <c r="Q1475" s="24"/>
    </row>
    <row r="1476" spans="15:17" x14ac:dyDescent="0.3">
      <c r="O1476" s="24"/>
      <c r="P1476" s="24"/>
      <c r="Q1476" s="24"/>
    </row>
    <row r="1477" spans="15:17" x14ac:dyDescent="0.3">
      <c r="O1477" s="24"/>
      <c r="P1477" s="24"/>
      <c r="Q1477" s="24"/>
    </row>
    <row r="1478" spans="15:17" x14ac:dyDescent="0.3">
      <c r="O1478" s="24"/>
      <c r="P1478" s="24"/>
      <c r="Q1478" s="24"/>
    </row>
    <row r="1479" spans="15:17" x14ac:dyDescent="0.3">
      <c r="O1479" s="24"/>
      <c r="P1479" s="24"/>
      <c r="Q1479" s="24"/>
    </row>
    <row r="1480" spans="15:17" x14ac:dyDescent="0.3">
      <c r="O1480" s="24"/>
      <c r="P1480" s="24"/>
      <c r="Q1480" s="24"/>
    </row>
    <row r="1481" spans="15:17" x14ac:dyDescent="0.3">
      <c r="O1481" s="24"/>
      <c r="P1481" s="24"/>
      <c r="Q1481" s="24"/>
    </row>
    <row r="1482" spans="15:17" x14ac:dyDescent="0.3">
      <c r="O1482" s="24"/>
      <c r="P1482" s="24"/>
      <c r="Q1482" s="24"/>
    </row>
    <row r="1483" spans="15:17" x14ac:dyDescent="0.3">
      <c r="O1483" s="24"/>
      <c r="P1483" s="24"/>
      <c r="Q1483" s="24"/>
    </row>
    <row r="1484" spans="15:17" x14ac:dyDescent="0.3">
      <c r="O1484" s="24"/>
      <c r="P1484" s="24"/>
      <c r="Q1484" s="24"/>
    </row>
    <row r="1485" spans="15:17" x14ac:dyDescent="0.3">
      <c r="O1485" s="24"/>
      <c r="P1485" s="24"/>
      <c r="Q1485" s="24"/>
    </row>
    <row r="1486" spans="15:17" x14ac:dyDescent="0.3">
      <c r="O1486" s="24"/>
      <c r="P1486" s="24"/>
      <c r="Q1486" s="24"/>
    </row>
    <row r="1487" spans="15:17" x14ac:dyDescent="0.3">
      <c r="O1487" s="24"/>
      <c r="P1487" s="24"/>
      <c r="Q1487" s="24"/>
    </row>
    <row r="1488" spans="15:17" x14ac:dyDescent="0.3">
      <c r="O1488" s="24"/>
      <c r="P1488" s="24"/>
      <c r="Q1488" s="24"/>
    </row>
    <row r="1489" spans="15:17" x14ac:dyDescent="0.3">
      <c r="O1489" s="24"/>
      <c r="P1489" s="24"/>
      <c r="Q1489" s="24"/>
    </row>
    <row r="1490" spans="15:17" x14ac:dyDescent="0.3">
      <c r="O1490" s="24"/>
      <c r="P1490" s="24"/>
      <c r="Q1490" s="24"/>
    </row>
    <row r="1491" spans="15:17" x14ac:dyDescent="0.3">
      <c r="O1491" s="24"/>
      <c r="P1491" s="24"/>
      <c r="Q1491" s="24"/>
    </row>
    <row r="1492" spans="15:17" x14ac:dyDescent="0.3">
      <c r="O1492" s="24"/>
      <c r="P1492" s="24"/>
      <c r="Q1492" s="24"/>
    </row>
    <row r="1493" spans="15:17" x14ac:dyDescent="0.3">
      <c r="O1493" s="24"/>
      <c r="P1493" s="24"/>
      <c r="Q1493" s="24"/>
    </row>
    <row r="1494" spans="15:17" x14ac:dyDescent="0.3">
      <c r="O1494" s="24"/>
      <c r="P1494" s="24"/>
      <c r="Q1494" s="24"/>
    </row>
    <row r="1495" spans="15:17" x14ac:dyDescent="0.3">
      <c r="O1495" s="24"/>
      <c r="P1495" s="24"/>
      <c r="Q1495" s="24"/>
    </row>
    <row r="1496" spans="15:17" x14ac:dyDescent="0.3">
      <c r="O1496" s="24"/>
      <c r="P1496" s="24"/>
      <c r="Q1496" s="24"/>
    </row>
    <row r="1497" spans="15:17" x14ac:dyDescent="0.3">
      <c r="O1497" s="24"/>
      <c r="P1497" s="24"/>
      <c r="Q1497" s="24"/>
    </row>
    <row r="1498" spans="15:17" x14ac:dyDescent="0.3">
      <c r="O1498" s="24"/>
      <c r="P1498" s="24"/>
      <c r="Q1498" s="24"/>
    </row>
    <row r="1499" spans="15:17" x14ac:dyDescent="0.3">
      <c r="O1499" s="24"/>
      <c r="P1499" s="24"/>
      <c r="Q1499" s="24"/>
    </row>
    <row r="1500" spans="15:17" x14ac:dyDescent="0.3">
      <c r="O1500" s="24"/>
      <c r="P1500" s="24"/>
      <c r="Q1500" s="24"/>
    </row>
    <row r="1501" spans="15:17" x14ac:dyDescent="0.3">
      <c r="O1501" s="24"/>
      <c r="P1501" s="24"/>
      <c r="Q1501" s="24"/>
    </row>
    <row r="1502" spans="15:17" x14ac:dyDescent="0.3">
      <c r="O1502" s="24"/>
      <c r="P1502" s="24"/>
      <c r="Q1502" s="24"/>
    </row>
    <row r="1503" spans="15:17" x14ac:dyDescent="0.3">
      <c r="O1503" s="24"/>
      <c r="P1503" s="24"/>
      <c r="Q1503" s="24"/>
    </row>
    <row r="1504" spans="15:17" x14ac:dyDescent="0.3">
      <c r="O1504" s="24"/>
      <c r="P1504" s="24"/>
      <c r="Q1504" s="24"/>
    </row>
    <row r="1505" spans="15:17" x14ac:dyDescent="0.3">
      <c r="O1505" s="24"/>
      <c r="P1505" s="24"/>
      <c r="Q1505" s="24"/>
    </row>
    <row r="1506" spans="15:17" x14ac:dyDescent="0.3">
      <c r="O1506" s="24"/>
      <c r="P1506" s="24"/>
      <c r="Q1506" s="24"/>
    </row>
    <row r="1507" spans="15:17" x14ac:dyDescent="0.3">
      <c r="O1507" s="24"/>
      <c r="P1507" s="24"/>
      <c r="Q1507" s="24"/>
    </row>
    <row r="1508" spans="15:17" x14ac:dyDescent="0.3">
      <c r="O1508" s="24"/>
      <c r="P1508" s="24"/>
      <c r="Q1508" s="24"/>
    </row>
    <row r="1509" spans="15:17" x14ac:dyDescent="0.3">
      <c r="O1509" s="24"/>
      <c r="P1509" s="24"/>
      <c r="Q1509" s="24"/>
    </row>
    <row r="1510" spans="15:17" x14ac:dyDescent="0.3">
      <c r="O1510" s="24"/>
      <c r="P1510" s="24"/>
      <c r="Q1510" s="24"/>
    </row>
    <row r="1511" spans="15:17" x14ac:dyDescent="0.3">
      <c r="O1511" s="24"/>
      <c r="P1511" s="24"/>
      <c r="Q1511" s="24"/>
    </row>
    <row r="1512" spans="15:17" x14ac:dyDescent="0.3">
      <c r="O1512" s="24"/>
      <c r="P1512" s="24"/>
      <c r="Q1512" s="24"/>
    </row>
    <row r="1513" spans="15:17" x14ac:dyDescent="0.3">
      <c r="O1513" s="24"/>
      <c r="P1513" s="24"/>
      <c r="Q1513" s="24"/>
    </row>
    <row r="1514" spans="15:17" x14ac:dyDescent="0.3">
      <c r="O1514" s="24"/>
      <c r="P1514" s="24"/>
      <c r="Q1514" s="24"/>
    </row>
    <row r="1515" spans="15:17" x14ac:dyDescent="0.3">
      <c r="O1515" s="24"/>
      <c r="P1515" s="24"/>
      <c r="Q1515" s="24"/>
    </row>
    <row r="1516" spans="15:17" x14ac:dyDescent="0.3">
      <c r="O1516" s="24"/>
      <c r="P1516" s="24"/>
      <c r="Q1516" s="24"/>
    </row>
    <row r="1517" spans="15:17" x14ac:dyDescent="0.3">
      <c r="O1517" s="24"/>
      <c r="P1517" s="24"/>
      <c r="Q1517" s="24"/>
    </row>
    <row r="1518" spans="15:17" x14ac:dyDescent="0.3">
      <c r="O1518" s="24"/>
      <c r="P1518" s="24"/>
      <c r="Q1518" s="24"/>
    </row>
    <row r="1519" spans="15:17" x14ac:dyDescent="0.3">
      <c r="O1519" s="24"/>
      <c r="P1519" s="24"/>
      <c r="Q1519" s="24"/>
    </row>
    <row r="1520" spans="15:17" x14ac:dyDescent="0.3">
      <c r="O1520" s="24"/>
      <c r="P1520" s="24"/>
      <c r="Q1520" s="24"/>
    </row>
    <row r="1521" spans="15:17" x14ac:dyDescent="0.3">
      <c r="O1521" s="24"/>
      <c r="P1521" s="24"/>
      <c r="Q1521" s="24"/>
    </row>
    <row r="1522" spans="15:17" x14ac:dyDescent="0.3">
      <c r="O1522" s="24"/>
      <c r="P1522" s="24"/>
      <c r="Q1522" s="24"/>
    </row>
    <row r="1523" spans="15:17" x14ac:dyDescent="0.3">
      <c r="O1523" s="24"/>
      <c r="P1523" s="24"/>
      <c r="Q1523" s="24"/>
    </row>
    <row r="1524" spans="15:17" x14ac:dyDescent="0.3">
      <c r="O1524" s="24"/>
      <c r="P1524" s="24"/>
      <c r="Q1524" s="24"/>
    </row>
    <row r="1525" spans="15:17" x14ac:dyDescent="0.3">
      <c r="O1525" s="24"/>
      <c r="P1525" s="24"/>
      <c r="Q1525" s="24"/>
    </row>
    <row r="1526" spans="15:17" x14ac:dyDescent="0.3">
      <c r="O1526" s="24"/>
      <c r="P1526" s="24"/>
      <c r="Q1526" s="24"/>
    </row>
    <row r="1527" spans="15:17" x14ac:dyDescent="0.3">
      <c r="O1527" s="24"/>
      <c r="P1527" s="24"/>
      <c r="Q1527" s="24"/>
    </row>
    <row r="1528" spans="15:17" x14ac:dyDescent="0.3">
      <c r="O1528" s="24"/>
      <c r="P1528" s="24"/>
      <c r="Q1528" s="24"/>
    </row>
    <row r="1529" spans="15:17" x14ac:dyDescent="0.3">
      <c r="O1529" s="24"/>
      <c r="P1529" s="24"/>
      <c r="Q1529" s="24"/>
    </row>
    <row r="1530" spans="15:17" x14ac:dyDescent="0.3">
      <c r="O1530" s="24"/>
      <c r="P1530" s="24"/>
      <c r="Q1530" s="24"/>
    </row>
    <row r="1531" spans="15:17" x14ac:dyDescent="0.3">
      <c r="O1531" s="24"/>
      <c r="P1531" s="24"/>
      <c r="Q1531" s="24"/>
    </row>
    <row r="1532" spans="15:17" x14ac:dyDescent="0.3">
      <c r="O1532" s="24"/>
      <c r="P1532" s="24"/>
      <c r="Q1532" s="24"/>
    </row>
    <row r="1533" spans="15:17" x14ac:dyDescent="0.3">
      <c r="O1533" s="24"/>
      <c r="P1533" s="24"/>
      <c r="Q1533" s="24"/>
    </row>
    <row r="1534" spans="15:17" x14ac:dyDescent="0.3">
      <c r="O1534" s="24"/>
      <c r="P1534" s="24"/>
      <c r="Q1534" s="24"/>
    </row>
    <row r="1535" spans="15:17" x14ac:dyDescent="0.3">
      <c r="O1535" s="24"/>
      <c r="P1535" s="24"/>
      <c r="Q1535" s="24"/>
    </row>
    <row r="1536" spans="15:17" x14ac:dyDescent="0.3">
      <c r="O1536" s="24"/>
      <c r="P1536" s="24"/>
      <c r="Q1536" s="24"/>
    </row>
    <row r="1537" spans="15:17" x14ac:dyDescent="0.3">
      <c r="O1537" s="24"/>
      <c r="P1537" s="24"/>
      <c r="Q1537" s="24"/>
    </row>
    <row r="1538" spans="15:17" x14ac:dyDescent="0.3">
      <c r="O1538" s="24"/>
      <c r="P1538" s="24"/>
      <c r="Q1538" s="24"/>
    </row>
    <row r="1539" spans="15:17" x14ac:dyDescent="0.3">
      <c r="O1539" s="24"/>
      <c r="P1539" s="24"/>
      <c r="Q1539" s="24"/>
    </row>
    <row r="1540" spans="15:17" x14ac:dyDescent="0.3">
      <c r="O1540" s="24"/>
      <c r="P1540" s="24"/>
      <c r="Q1540" s="24"/>
    </row>
    <row r="1541" spans="15:17" x14ac:dyDescent="0.3">
      <c r="O1541" s="24"/>
      <c r="P1541" s="24"/>
      <c r="Q1541" s="24"/>
    </row>
    <row r="1542" spans="15:17" x14ac:dyDescent="0.3">
      <c r="O1542" s="24"/>
      <c r="P1542" s="24"/>
      <c r="Q1542" s="24"/>
    </row>
    <row r="1543" spans="15:17" x14ac:dyDescent="0.3">
      <c r="O1543" s="24"/>
      <c r="P1543" s="24"/>
      <c r="Q1543" s="24"/>
    </row>
    <row r="1544" spans="15:17" x14ac:dyDescent="0.3">
      <c r="O1544" s="24"/>
      <c r="P1544" s="24"/>
      <c r="Q1544" s="24"/>
    </row>
    <row r="1545" spans="15:17" x14ac:dyDescent="0.3">
      <c r="O1545" s="24"/>
      <c r="P1545" s="24"/>
      <c r="Q1545" s="24"/>
    </row>
    <row r="1546" spans="15:17" x14ac:dyDescent="0.3">
      <c r="O1546" s="24"/>
      <c r="P1546" s="24"/>
      <c r="Q1546" s="24"/>
    </row>
    <row r="1547" spans="15:17" x14ac:dyDescent="0.3">
      <c r="O1547" s="24"/>
      <c r="P1547" s="24"/>
      <c r="Q1547" s="24"/>
    </row>
    <row r="1548" spans="15:17" x14ac:dyDescent="0.3">
      <c r="O1548" s="24"/>
      <c r="P1548" s="24"/>
      <c r="Q1548" s="24"/>
    </row>
    <row r="1549" spans="15:17" x14ac:dyDescent="0.3">
      <c r="O1549" s="24"/>
      <c r="P1549" s="24"/>
      <c r="Q1549" s="24"/>
    </row>
    <row r="1550" spans="15:17" x14ac:dyDescent="0.3">
      <c r="O1550" s="24"/>
      <c r="P1550" s="24"/>
      <c r="Q1550" s="24"/>
    </row>
    <row r="1551" spans="15:17" x14ac:dyDescent="0.3">
      <c r="O1551" s="24"/>
      <c r="P1551" s="24"/>
      <c r="Q1551" s="24"/>
    </row>
    <row r="1552" spans="15:17" x14ac:dyDescent="0.3">
      <c r="O1552" s="24"/>
      <c r="P1552" s="24"/>
      <c r="Q1552" s="24"/>
    </row>
    <row r="1553" spans="15:17" x14ac:dyDescent="0.3">
      <c r="O1553" s="24"/>
      <c r="P1553" s="24"/>
      <c r="Q1553" s="24"/>
    </row>
    <row r="1554" spans="15:17" x14ac:dyDescent="0.3">
      <c r="O1554" s="24"/>
      <c r="P1554" s="24"/>
      <c r="Q1554" s="24"/>
    </row>
    <row r="1555" spans="15:17" x14ac:dyDescent="0.3">
      <c r="O1555" s="24"/>
      <c r="P1555" s="24"/>
      <c r="Q1555" s="24"/>
    </row>
    <row r="1556" spans="15:17" x14ac:dyDescent="0.3">
      <c r="O1556" s="24"/>
      <c r="P1556" s="24"/>
      <c r="Q1556" s="24"/>
    </row>
    <row r="1557" spans="15:17" x14ac:dyDescent="0.3">
      <c r="O1557" s="24"/>
      <c r="P1557" s="24"/>
      <c r="Q1557" s="24"/>
    </row>
    <row r="1558" spans="15:17" x14ac:dyDescent="0.3">
      <c r="O1558" s="24"/>
      <c r="P1558" s="24"/>
      <c r="Q1558" s="24"/>
    </row>
    <row r="1559" spans="15:17" x14ac:dyDescent="0.3">
      <c r="O1559" s="24"/>
      <c r="P1559" s="24"/>
      <c r="Q1559" s="24"/>
    </row>
    <row r="1560" spans="15:17" x14ac:dyDescent="0.3">
      <c r="O1560" s="24"/>
      <c r="P1560" s="24"/>
      <c r="Q1560" s="24"/>
    </row>
    <row r="1561" spans="15:17" x14ac:dyDescent="0.3">
      <c r="O1561" s="24"/>
      <c r="P1561" s="24"/>
      <c r="Q1561" s="24"/>
    </row>
    <row r="1562" spans="15:17" x14ac:dyDescent="0.3">
      <c r="O1562" s="24"/>
      <c r="P1562" s="24"/>
      <c r="Q1562" s="24"/>
    </row>
    <row r="1563" spans="15:17" x14ac:dyDescent="0.3">
      <c r="O1563" s="24"/>
      <c r="P1563" s="24"/>
      <c r="Q1563" s="24"/>
    </row>
    <row r="1564" spans="15:17" x14ac:dyDescent="0.3">
      <c r="O1564" s="24"/>
      <c r="P1564" s="24"/>
      <c r="Q1564" s="24"/>
    </row>
    <row r="1565" spans="15:17" x14ac:dyDescent="0.3">
      <c r="O1565" s="24"/>
      <c r="P1565" s="24"/>
      <c r="Q1565" s="24"/>
    </row>
    <row r="1566" spans="15:17" x14ac:dyDescent="0.3">
      <c r="O1566" s="24"/>
      <c r="P1566" s="24"/>
      <c r="Q1566" s="24"/>
    </row>
    <row r="1567" spans="15:17" x14ac:dyDescent="0.3">
      <c r="O1567" s="24"/>
      <c r="P1567" s="24"/>
      <c r="Q1567" s="24"/>
    </row>
    <row r="1568" spans="15:17" x14ac:dyDescent="0.3">
      <c r="O1568" s="24"/>
      <c r="P1568" s="24"/>
      <c r="Q1568" s="24"/>
    </row>
    <row r="1569" spans="15:17" x14ac:dyDescent="0.3">
      <c r="O1569" s="24"/>
      <c r="P1569" s="24"/>
      <c r="Q1569" s="24"/>
    </row>
    <row r="1570" spans="15:17" x14ac:dyDescent="0.3">
      <c r="O1570" s="24"/>
      <c r="P1570" s="24"/>
      <c r="Q1570" s="24"/>
    </row>
    <row r="1571" spans="15:17" x14ac:dyDescent="0.3">
      <c r="O1571" s="24"/>
      <c r="P1571" s="24"/>
      <c r="Q1571" s="24"/>
    </row>
    <row r="1572" spans="15:17" x14ac:dyDescent="0.3">
      <c r="O1572" s="24"/>
      <c r="P1572" s="24"/>
      <c r="Q1572" s="24"/>
    </row>
    <row r="1573" spans="15:17" x14ac:dyDescent="0.3">
      <c r="O1573" s="24"/>
      <c r="P1573" s="24"/>
      <c r="Q1573" s="24"/>
    </row>
    <row r="1574" spans="15:17" x14ac:dyDescent="0.3">
      <c r="O1574" s="24"/>
      <c r="P1574" s="24"/>
      <c r="Q1574" s="24"/>
    </row>
    <row r="1575" spans="15:17" x14ac:dyDescent="0.3">
      <c r="O1575" s="24"/>
      <c r="P1575" s="24"/>
      <c r="Q1575" s="24"/>
    </row>
    <row r="1576" spans="15:17" x14ac:dyDescent="0.3">
      <c r="O1576" s="24"/>
      <c r="P1576" s="24"/>
      <c r="Q1576" s="24"/>
    </row>
    <row r="1577" spans="15:17" x14ac:dyDescent="0.3">
      <c r="O1577" s="24"/>
      <c r="P1577" s="24"/>
      <c r="Q1577" s="24"/>
    </row>
    <row r="1578" spans="15:17" x14ac:dyDescent="0.3">
      <c r="O1578" s="24"/>
      <c r="P1578" s="24"/>
      <c r="Q1578" s="24"/>
    </row>
    <row r="1579" spans="15:17" x14ac:dyDescent="0.3">
      <c r="O1579" s="24"/>
      <c r="P1579" s="24"/>
      <c r="Q1579" s="24"/>
    </row>
    <row r="1580" spans="15:17" x14ac:dyDescent="0.3">
      <c r="O1580" s="24"/>
      <c r="P1580" s="24"/>
      <c r="Q1580" s="24"/>
    </row>
    <row r="1581" spans="15:17" x14ac:dyDescent="0.3">
      <c r="O1581" s="24"/>
      <c r="P1581" s="24"/>
      <c r="Q1581" s="24"/>
    </row>
    <row r="1582" spans="15:17" x14ac:dyDescent="0.3">
      <c r="O1582" s="24"/>
      <c r="P1582" s="24"/>
      <c r="Q1582" s="24"/>
    </row>
    <row r="1583" spans="15:17" x14ac:dyDescent="0.3">
      <c r="O1583" s="24"/>
      <c r="P1583" s="24"/>
      <c r="Q1583" s="24"/>
    </row>
    <row r="1584" spans="15:17" x14ac:dyDescent="0.3">
      <c r="O1584" s="24"/>
      <c r="P1584" s="24"/>
      <c r="Q1584" s="24"/>
    </row>
    <row r="1585" spans="15:17" x14ac:dyDescent="0.3">
      <c r="O1585" s="24"/>
      <c r="P1585" s="24"/>
      <c r="Q1585" s="24"/>
    </row>
    <row r="1586" spans="15:17" x14ac:dyDescent="0.3">
      <c r="O1586" s="24"/>
      <c r="P1586" s="24"/>
      <c r="Q1586" s="24"/>
    </row>
    <row r="1587" spans="15:17" x14ac:dyDescent="0.3">
      <c r="O1587" s="24"/>
      <c r="P1587" s="24"/>
      <c r="Q1587" s="24"/>
    </row>
    <row r="1588" spans="15:17" x14ac:dyDescent="0.3">
      <c r="O1588" s="24"/>
      <c r="P1588" s="24"/>
      <c r="Q1588" s="24"/>
    </row>
    <row r="1589" spans="15:17" x14ac:dyDescent="0.3">
      <c r="O1589" s="24"/>
      <c r="P1589" s="24"/>
      <c r="Q1589" s="24"/>
    </row>
    <row r="1590" spans="15:17" x14ac:dyDescent="0.3">
      <c r="O1590" s="24"/>
      <c r="P1590" s="24"/>
      <c r="Q1590" s="24"/>
    </row>
    <row r="1591" spans="15:17" x14ac:dyDescent="0.3">
      <c r="O1591" s="24"/>
      <c r="P1591" s="24"/>
      <c r="Q1591" s="24"/>
    </row>
    <row r="1592" spans="15:17" x14ac:dyDescent="0.3">
      <c r="O1592" s="24"/>
      <c r="P1592" s="24"/>
      <c r="Q1592" s="24"/>
    </row>
    <row r="1593" spans="15:17" x14ac:dyDescent="0.3">
      <c r="O1593" s="24"/>
      <c r="P1593" s="24"/>
      <c r="Q1593" s="24"/>
    </row>
    <row r="1594" spans="15:17" x14ac:dyDescent="0.3">
      <c r="O1594" s="24"/>
      <c r="P1594" s="24"/>
      <c r="Q1594" s="24"/>
    </row>
    <row r="1595" spans="15:17" x14ac:dyDescent="0.3">
      <c r="O1595" s="24"/>
      <c r="P1595" s="24"/>
      <c r="Q1595" s="24"/>
    </row>
    <row r="1596" spans="15:17" x14ac:dyDescent="0.3">
      <c r="O1596" s="24"/>
      <c r="P1596" s="24"/>
      <c r="Q1596" s="24"/>
    </row>
    <row r="1597" spans="15:17" x14ac:dyDescent="0.3">
      <c r="O1597" s="24"/>
      <c r="P1597" s="24"/>
      <c r="Q1597" s="24"/>
    </row>
    <row r="1598" spans="15:17" x14ac:dyDescent="0.3">
      <c r="O1598" s="24"/>
      <c r="P1598" s="24"/>
      <c r="Q1598" s="24"/>
    </row>
    <row r="1599" spans="15:17" x14ac:dyDescent="0.3">
      <c r="O1599" s="24"/>
      <c r="P1599" s="24"/>
      <c r="Q1599" s="24"/>
    </row>
    <row r="1600" spans="15:17" x14ac:dyDescent="0.3">
      <c r="O1600" s="24"/>
      <c r="P1600" s="24"/>
      <c r="Q1600" s="24"/>
    </row>
    <row r="1601" spans="15:17" x14ac:dyDescent="0.3">
      <c r="O1601" s="24"/>
      <c r="P1601" s="24"/>
      <c r="Q1601" s="24"/>
    </row>
    <row r="1602" spans="15:17" x14ac:dyDescent="0.3">
      <c r="O1602" s="24"/>
      <c r="P1602" s="24"/>
      <c r="Q1602" s="24"/>
    </row>
    <row r="1603" spans="15:17" x14ac:dyDescent="0.3">
      <c r="O1603" s="24"/>
      <c r="P1603" s="24"/>
      <c r="Q1603" s="24"/>
    </row>
    <row r="1604" spans="15:17" x14ac:dyDescent="0.3">
      <c r="O1604" s="24"/>
      <c r="P1604" s="24"/>
      <c r="Q1604" s="24"/>
    </row>
    <row r="1605" spans="15:17" x14ac:dyDescent="0.3">
      <c r="O1605" s="24"/>
      <c r="P1605" s="24"/>
      <c r="Q1605" s="24"/>
    </row>
    <row r="1606" spans="15:17" x14ac:dyDescent="0.3">
      <c r="O1606" s="24"/>
      <c r="P1606" s="24"/>
      <c r="Q1606" s="24"/>
    </row>
    <row r="1607" spans="15:17" x14ac:dyDescent="0.3">
      <c r="O1607" s="24"/>
      <c r="P1607" s="24"/>
      <c r="Q1607" s="24"/>
    </row>
    <row r="1608" spans="15:17" x14ac:dyDescent="0.3">
      <c r="O1608" s="24"/>
      <c r="P1608" s="24"/>
      <c r="Q1608" s="24"/>
    </row>
    <row r="1609" spans="15:17" x14ac:dyDescent="0.3">
      <c r="O1609" s="24"/>
      <c r="P1609" s="24"/>
      <c r="Q1609" s="24"/>
    </row>
    <row r="1610" spans="15:17" x14ac:dyDescent="0.3">
      <c r="O1610" s="24"/>
      <c r="P1610" s="24"/>
      <c r="Q1610" s="24"/>
    </row>
    <row r="1611" spans="15:17" x14ac:dyDescent="0.3">
      <c r="O1611" s="24"/>
      <c r="P1611" s="24"/>
      <c r="Q1611" s="24"/>
    </row>
    <row r="1612" spans="15:17" x14ac:dyDescent="0.3">
      <c r="O1612" s="24"/>
      <c r="P1612" s="24"/>
      <c r="Q1612" s="24"/>
    </row>
    <row r="1613" spans="15:17" x14ac:dyDescent="0.3">
      <c r="O1613" s="24"/>
      <c r="P1613" s="24"/>
      <c r="Q1613" s="24"/>
    </row>
    <row r="1614" spans="15:17" x14ac:dyDescent="0.3">
      <c r="O1614" s="24"/>
      <c r="P1614" s="24"/>
      <c r="Q1614" s="24"/>
    </row>
    <row r="1615" spans="15:17" x14ac:dyDescent="0.3">
      <c r="O1615" s="24"/>
      <c r="P1615" s="24"/>
      <c r="Q1615" s="24"/>
    </row>
    <row r="1616" spans="15:17" x14ac:dyDescent="0.3">
      <c r="O1616" s="24"/>
      <c r="P1616" s="24"/>
      <c r="Q1616" s="24"/>
    </row>
    <row r="1617" spans="15:17" x14ac:dyDescent="0.3">
      <c r="O1617" s="24"/>
      <c r="P1617" s="24"/>
      <c r="Q1617" s="24"/>
    </row>
    <row r="1618" spans="15:17" x14ac:dyDescent="0.3">
      <c r="O1618" s="24"/>
      <c r="P1618" s="24"/>
      <c r="Q1618" s="24"/>
    </row>
    <row r="1619" spans="15:17" x14ac:dyDescent="0.3">
      <c r="O1619" s="24"/>
      <c r="P1619" s="24"/>
      <c r="Q1619" s="24"/>
    </row>
    <row r="1620" spans="15:17" x14ac:dyDescent="0.3">
      <c r="O1620" s="24"/>
      <c r="P1620" s="24"/>
      <c r="Q1620" s="24"/>
    </row>
    <row r="1621" spans="15:17" x14ac:dyDescent="0.3">
      <c r="O1621" s="24"/>
      <c r="P1621" s="24"/>
      <c r="Q1621" s="24"/>
    </row>
    <row r="1622" spans="15:17" x14ac:dyDescent="0.3">
      <c r="O1622" s="24"/>
      <c r="P1622" s="24"/>
      <c r="Q1622" s="24"/>
    </row>
    <row r="1623" spans="15:17" x14ac:dyDescent="0.3">
      <c r="O1623" s="24"/>
      <c r="P1623" s="24"/>
      <c r="Q1623" s="24"/>
    </row>
    <row r="1624" spans="15:17" x14ac:dyDescent="0.3">
      <c r="O1624" s="24"/>
      <c r="P1624" s="24"/>
      <c r="Q1624" s="24"/>
    </row>
    <row r="1625" spans="15:17" x14ac:dyDescent="0.3">
      <c r="O1625" s="24"/>
      <c r="P1625" s="24"/>
      <c r="Q1625" s="24"/>
    </row>
    <row r="1626" spans="15:17" x14ac:dyDescent="0.3">
      <c r="O1626" s="24"/>
      <c r="P1626" s="24"/>
      <c r="Q1626" s="24"/>
    </row>
    <row r="1627" spans="15:17" x14ac:dyDescent="0.3">
      <c r="O1627" s="24"/>
      <c r="P1627" s="24"/>
      <c r="Q1627" s="24"/>
    </row>
    <row r="1628" spans="15:17" x14ac:dyDescent="0.3">
      <c r="O1628" s="24"/>
      <c r="P1628" s="24"/>
      <c r="Q1628" s="24"/>
    </row>
    <row r="1629" spans="15:17" x14ac:dyDescent="0.3">
      <c r="O1629" s="24"/>
      <c r="P1629" s="24"/>
      <c r="Q1629" s="24"/>
    </row>
    <row r="1630" spans="15:17" x14ac:dyDescent="0.3">
      <c r="O1630" s="24"/>
      <c r="P1630" s="24"/>
      <c r="Q1630" s="24"/>
    </row>
    <row r="1631" spans="15:17" x14ac:dyDescent="0.3">
      <c r="O1631" s="24"/>
      <c r="P1631" s="24"/>
      <c r="Q1631" s="24"/>
    </row>
    <row r="1632" spans="15:17" x14ac:dyDescent="0.3">
      <c r="O1632" s="24"/>
      <c r="P1632" s="24"/>
      <c r="Q1632" s="24"/>
    </row>
    <row r="1633" spans="15:17" x14ac:dyDescent="0.3">
      <c r="O1633" s="24"/>
      <c r="P1633" s="24"/>
      <c r="Q1633" s="24"/>
    </row>
    <row r="1634" spans="15:17" x14ac:dyDescent="0.3">
      <c r="O1634" s="24"/>
      <c r="P1634" s="24"/>
      <c r="Q1634" s="24"/>
    </row>
    <row r="1635" spans="15:17" x14ac:dyDescent="0.3">
      <c r="O1635" s="24"/>
      <c r="P1635" s="24"/>
      <c r="Q1635" s="24"/>
    </row>
    <row r="1636" spans="15:17" x14ac:dyDescent="0.3">
      <c r="O1636" s="24"/>
      <c r="P1636" s="24"/>
      <c r="Q1636" s="24"/>
    </row>
    <row r="1637" spans="15:17" x14ac:dyDescent="0.3">
      <c r="O1637" s="24"/>
      <c r="P1637" s="24"/>
      <c r="Q1637" s="24"/>
    </row>
    <row r="1638" spans="15:17" x14ac:dyDescent="0.3">
      <c r="O1638" s="24"/>
      <c r="P1638" s="24"/>
      <c r="Q1638" s="24"/>
    </row>
    <row r="1639" spans="15:17" x14ac:dyDescent="0.3">
      <c r="O1639" s="24"/>
      <c r="P1639" s="24"/>
      <c r="Q1639" s="24"/>
    </row>
    <row r="1640" spans="15:17" x14ac:dyDescent="0.3">
      <c r="O1640" s="24"/>
      <c r="P1640" s="24"/>
      <c r="Q1640" s="24"/>
    </row>
    <row r="1641" spans="15:17" x14ac:dyDescent="0.3">
      <c r="O1641" s="24"/>
      <c r="P1641" s="24"/>
      <c r="Q1641" s="24"/>
    </row>
    <row r="1642" spans="15:17" x14ac:dyDescent="0.3">
      <c r="O1642" s="24"/>
      <c r="P1642" s="24"/>
      <c r="Q1642" s="24"/>
    </row>
    <row r="1643" spans="15:17" x14ac:dyDescent="0.3">
      <c r="O1643" s="24"/>
      <c r="P1643" s="24"/>
      <c r="Q1643" s="24"/>
    </row>
    <row r="1644" spans="15:17" x14ac:dyDescent="0.3">
      <c r="O1644" s="24"/>
      <c r="P1644" s="24"/>
      <c r="Q1644" s="24"/>
    </row>
    <row r="1645" spans="15:17" x14ac:dyDescent="0.3">
      <c r="O1645" s="24"/>
      <c r="P1645" s="24"/>
      <c r="Q1645" s="24"/>
    </row>
    <row r="1646" spans="15:17" x14ac:dyDescent="0.3">
      <c r="O1646" s="24"/>
      <c r="P1646" s="24"/>
      <c r="Q1646" s="24"/>
    </row>
    <row r="1647" spans="15:17" x14ac:dyDescent="0.3">
      <c r="O1647" s="24"/>
      <c r="P1647" s="24"/>
      <c r="Q1647" s="24"/>
    </row>
    <row r="1648" spans="15:17" x14ac:dyDescent="0.3">
      <c r="O1648" s="24"/>
      <c r="P1648" s="24"/>
      <c r="Q1648" s="24"/>
    </row>
    <row r="1649" spans="15:17" x14ac:dyDescent="0.3">
      <c r="O1649" s="24"/>
      <c r="P1649" s="24"/>
      <c r="Q1649" s="24"/>
    </row>
    <row r="1650" spans="15:17" x14ac:dyDescent="0.3">
      <c r="O1650" s="24"/>
      <c r="P1650" s="24"/>
      <c r="Q1650" s="24"/>
    </row>
    <row r="1651" spans="15:17" x14ac:dyDescent="0.3">
      <c r="O1651" s="24"/>
      <c r="P1651" s="24"/>
      <c r="Q1651" s="24"/>
    </row>
    <row r="1652" spans="15:17" x14ac:dyDescent="0.3">
      <c r="O1652" s="24"/>
      <c r="P1652" s="24"/>
      <c r="Q1652" s="24"/>
    </row>
    <row r="1653" spans="15:17" x14ac:dyDescent="0.3">
      <c r="O1653" s="24"/>
      <c r="P1653" s="24"/>
      <c r="Q1653" s="24"/>
    </row>
    <row r="1654" spans="15:17" x14ac:dyDescent="0.3">
      <c r="O1654" s="24"/>
      <c r="P1654" s="24"/>
      <c r="Q1654" s="24"/>
    </row>
    <row r="1655" spans="15:17" x14ac:dyDescent="0.3">
      <c r="O1655" s="24"/>
      <c r="P1655" s="24"/>
      <c r="Q1655" s="24"/>
    </row>
    <row r="1656" spans="15:17" x14ac:dyDescent="0.3">
      <c r="O1656" s="24"/>
      <c r="P1656" s="24"/>
      <c r="Q1656" s="24"/>
    </row>
    <row r="1657" spans="15:17" x14ac:dyDescent="0.3">
      <c r="O1657" s="24"/>
      <c r="P1657" s="24"/>
      <c r="Q1657" s="24"/>
    </row>
    <row r="1658" spans="15:17" x14ac:dyDescent="0.3">
      <c r="O1658" s="24"/>
      <c r="P1658" s="24"/>
      <c r="Q1658" s="24"/>
    </row>
    <row r="1659" spans="15:17" x14ac:dyDescent="0.3">
      <c r="O1659" s="24"/>
      <c r="P1659" s="24"/>
      <c r="Q1659" s="24"/>
    </row>
    <row r="1660" spans="15:17" x14ac:dyDescent="0.3">
      <c r="O1660" s="24"/>
      <c r="P1660" s="24"/>
      <c r="Q1660" s="24"/>
    </row>
    <row r="1661" spans="15:17" x14ac:dyDescent="0.3">
      <c r="O1661" s="24"/>
      <c r="P1661" s="24"/>
      <c r="Q1661" s="24"/>
    </row>
    <row r="1662" spans="15:17" x14ac:dyDescent="0.3">
      <c r="O1662" s="24"/>
      <c r="P1662" s="24"/>
      <c r="Q1662" s="24"/>
    </row>
    <row r="1663" spans="15:17" x14ac:dyDescent="0.3">
      <c r="O1663" s="24"/>
      <c r="P1663" s="24"/>
      <c r="Q1663" s="24"/>
    </row>
    <row r="1664" spans="15:17" x14ac:dyDescent="0.3">
      <c r="O1664" s="24"/>
      <c r="P1664" s="24"/>
      <c r="Q1664" s="24"/>
    </row>
    <row r="1665" spans="15:17" x14ac:dyDescent="0.3">
      <c r="O1665" s="24"/>
      <c r="P1665" s="24"/>
      <c r="Q1665" s="24"/>
    </row>
    <row r="1666" spans="15:17" x14ac:dyDescent="0.3">
      <c r="O1666" s="24"/>
      <c r="P1666" s="24"/>
      <c r="Q1666" s="24"/>
    </row>
    <row r="1667" spans="15:17" x14ac:dyDescent="0.3">
      <c r="O1667" s="24"/>
      <c r="P1667" s="24"/>
      <c r="Q1667" s="24"/>
    </row>
    <row r="1668" spans="15:17" x14ac:dyDescent="0.3">
      <c r="O1668" s="24"/>
      <c r="P1668" s="24"/>
      <c r="Q1668" s="24"/>
    </row>
    <row r="1669" spans="15:17" x14ac:dyDescent="0.3">
      <c r="O1669" s="24"/>
      <c r="P1669" s="24"/>
      <c r="Q1669" s="24"/>
    </row>
    <row r="1670" spans="15:17" x14ac:dyDescent="0.3">
      <c r="O1670" s="24"/>
      <c r="P1670" s="24"/>
      <c r="Q1670" s="24"/>
    </row>
    <row r="1671" spans="15:17" x14ac:dyDescent="0.3">
      <c r="O1671" s="24"/>
      <c r="P1671" s="24"/>
      <c r="Q1671" s="24"/>
    </row>
    <row r="1672" spans="15:17" x14ac:dyDescent="0.3">
      <c r="O1672" s="24"/>
      <c r="P1672" s="24"/>
      <c r="Q1672" s="24"/>
    </row>
    <row r="1673" spans="15:17" x14ac:dyDescent="0.3">
      <c r="O1673" s="24"/>
      <c r="P1673" s="24"/>
      <c r="Q1673" s="24"/>
    </row>
    <row r="1674" spans="15:17" x14ac:dyDescent="0.3">
      <c r="O1674" s="24"/>
      <c r="P1674" s="24"/>
      <c r="Q1674" s="24"/>
    </row>
    <row r="1675" spans="15:17" x14ac:dyDescent="0.3">
      <c r="O1675" s="24"/>
      <c r="P1675" s="24"/>
      <c r="Q1675" s="24"/>
    </row>
    <row r="1676" spans="15:17" x14ac:dyDescent="0.3">
      <c r="O1676" s="24"/>
      <c r="P1676" s="24"/>
      <c r="Q1676" s="24"/>
    </row>
    <row r="1677" spans="15:17" x14ac:dyDescent="0.3">
      <c r="O1677" s="24"/>
      <c r="P1677" s="24"/>
      <c r="Q1677" s="24"/>
    </row>
    <row r="1678" spans="15:17" x14ac:dyDescent="0.3">
      <c r="O1678" s="24"/>
      <c r="P1678" s="24"/>
      <c r="Q1678" s="24"/>
    </row>
    <row r="1679" spans="15:17" x14ac:dyDescent="0.3">
      <c r="O1679" s="24"/>
      <c r="P1679" s="24"/>
      <c r="Q1679" s="24"/>
    </row>
    <row r="1680" spans="15:17" x14ac:dyDescent="0.3">
      <c r="O1680" s="24"/>
      <c r="P1680" s="24"/>
      <c r="Q1680" s="24"/>
    </row>
    <row r="1681" spans="15:17" x14ac:dyDescent="0.3">
      <c r="O1681" s="24"/>
      <c r="P1681" s="24"/>
      <c r="Q1681" s="24"/>
    </row>
    <row r="1682" spans="15:17" x14ac:dyDescent="0.3">
      <c r="O1682" s="24"/>
      <c r="P1682" s="24"/>
      <c r="Q1682" s="24"/>
    </row>
    <row r="1683" spans="15:17" x14ac:dyDescent="0.3">
      <c r="O1683" s="24"/>
      <c r="P1683" s="24"/>
      <c r="Q1683" s="24"/>
    </row>
    <row r="1684" spans="15:17" x14ac:dyDescent="0.3">
      <c r="O1684" s="24"/>
      <c r="P1684" s="24"/>
      <c r="Q1684" s="24"/>
    </row>
    <row r="1685" spans="15:17" x14ac:dyDescent="0.3">
      <c r="O1685" s="24"/>
      <c r="P1685" s="24"/>
      <c r="Q1685" s="24"/>
    </row>
    <row r="1686" spans="15:17" x14ac:dyDescent="0.3">
      <c r="O1686" s="24"/>
      <c r="P1686" s="24"/>
      <c r="Q1686" s="24"/>
    </row>
    <row r="1687" spans="15:17" x14ac:dyDescent="0.3">
      <c r="O1687" s="24"/>
      <c r="P1687" s="24"/>
      <c r="Q1687" s="24"/>
    </row>
    <row r="1688" spans="15:17" x14ac:dyDescent="0.3">
      <c r="O1688" s="24"/>
      <c r="P1688" s="24"/>
      <c r="Q1688" s="24"/>
    </row>
    <row r="1689" spans="15:17" x14ac:dyDescent="0.3">
      <c r="O1689" s="24"/>
      <c r="P1689" s="24"/>
      <c r="Q1689" s="24"/>
    </row>
    <row r="1690" spans="15:17" x14ac:dyDescent="0.3">
      <c r="O1690" s="24"/>
      <c r="P1690" s="24"/>
      <c r="Q1690" s="24"/>
    </row>
    <row r="1691" spans="15:17" x14ac:dyDescent="0.3">
      <c r="O1691" s="24"/>
      <c r="P1691" s="24"/>
      <c r="Q1691" s="24"/>
    </row>
    <row r="1692" spans="15:17" x14ac:dyDescent="0.3">
      <c r="O1692" s="24"/>
      <c r="P1692" s="24"/>
      <c r="Q1692" s="24"/>
    </row>
    <row r="1693" spans="15:17" x14ac:dyDescent="0.3">
      <c r="O1693" s="24"/>
      <c r="P1693" s="24"/>
      <c r="Q1693" s="24"/>
    </row>
    <row r="1694" spans="15:17" x14ac:dyDescent="0.3">
      <c r="O1694" s="24"/>
      <c r="P1694" s="24"/>
      <c r="Q1694" s="24"/>
    </row>
    <row r="1695" spans="15:17" x14ac:dyDescent="0.3">
      <c r="O1695" s="24"/>
      <c r="P1695" s="24"/>
      <c r="Q1695" s="24"/>
    </row>
    <row r="1696" spans="15:17" x14ac:dyDescent="0.3">
      <c r="O1696" s="24"/>
      <c r="P1696" s="24"/>
      <c r="Q1696" s="24"/>
    </row>
    <row r="1697" spans="15:17" x14ac:dyDescent="0.3">
      <c r="O1697" s="24"/>
      <c r="P1697" s="24"/>
      <c r="Q1697" s="24"/>
    </row>
    <row r="1698" spans="15:17" x14ac:dyDescent="0.3">
      <c r="O1698" s="24"/>
      <c r="P1698" s="24"/>
      <c r="Q1698" s="24"/>
    </row>
    <row r="1699" spans="15:17" x14ac:dyDescent="0.3">
      <c r="O1699" s="24"/>
      <c r="P1699" s="24"/>
      <c r="Q1699" s="24"/>
    </row>
    <row r="1700" spans="15:17" x14ac:dyDescent="0.3">
      <c r="O1700" s="24"/>
      <c r="P1700" s="24"/>
      <c r="Q1700" s="24"/>
    </row>
    <row r="1701" spans="15:17" x14ac:dyDescent="0.3">
      <c r="O1701" s="24"/>
      <c r="P1701" s="24"/>
      <c r="Q1701" s="24"/>
    </row>
    <row r="1702" spans="15:17" x14ac:dyDescent="0.3">
      <c r="O1702" s="24"/>
      <c r="P1702" s="24"/>
      <c r="Q1702" s="24"/>
    </row>
    <row r="1703" spans="15:17" x14ac:dyDescent="0.3">
      <c r="O1703" s="24"/>
      <c r="P1703" s="24"/>
      <c r="Q1703" s="24"/>
    </row>
    <row r="1704" spans="15:17" x14ac:dyDescent="0.3">
      <c r="O1704" s="24"/>
      <c r="P1704" s="24"/>
      <c r="Q1704" s="24"/>
    </row>
    <row r="1705" spans="15:17" x14ac:dyDescent="0.3">
      <c r="O1705" s="24"/>
      <c r="P1705" s="24"/>
      <c r="Q1705" s="24"/>
    </row>
    <row r="1706" spans="15:17" x14ac:dyDescent="0.3">
      <c r="O1706" s="24"/>
      <c r="P1706" s="24"/>
      <c r="Q1706" s="24"/>
    </row>
    <row r="1707" spans="15:17" x14ac:dyDescent="0.3">
      <c r="O1707" s="24"/>
      <c r="P1707" s="24"/>
      <c r="Q1707" s="24"/>
    </row>
    <row r="1708" spans="15:17" x14ac:dyDescent="0.3">
      <c r="O1708" s="24"/>
      <c r="P1708" s="24"/>
      <c r="Q1708" s="24"/>
    </row>
    <row r="1709" spans="15:17" x14ac:dyDescent="0.3">
      <c r="O1709" s="24"/>
      <c r="P1709" s="24"/>
      <c r="Q1709" s="24"/>
    </row>
    <row r="1710" spans="15:17" x14ac:dyDescent="0.3">
      <c r="O1710" s="24"/>
      <c r="P1710" s="24"/>
      <c r="Q1710" s="24"/>
    </row>
    <row r="1711" spans="15:17" x14ac:dyDescent="0.3">
      <c r="O1711" s="24"/>
      <c r="P1711" s="24"/>
      <c r="Q1711" s="24"/>
    </row>
    <row r="1712" spans="15:17" x14ac:dyDescent="0.3">
      <c r="O1712" s="24"/>
      <c r="P1712" s="24"/>
      <c r="Q1712" s="24"/>
    </row>
    <row r="1713" spans="15:17" x14ac:dyDescent="0.3">
      <c r="O1713" s="24"/>
      <c r="P1713" s="24"/>
      <c r="Q1713" s="24"/>
    </row>
    <row r="1714" spans="15:17" x14ac:dyDescent="0.3">
      <c r="O1714" s="24"/>
      <c r="P1714" s="24"/>
      <c r="Q1714" s="24"/>
    </row>
    <row r="1715" spans="15:17" x14ac:dyDescent="0.3">
      <c r="O1715" s="24"/>
      <c r="P1715" s="24"/>
      <c r="Q1715" s="24"/>
    </row>
    <row r="1716" spans="15:17" x14ac:dyDescent="0.3">
      <c r="O1716" s="24"/>
      <c r="P1716" s="24"/>
      <c r="Q1716" s="24"/>
    </row>
    <row r="1717" spans="15:17" x14ac:dyDescent="0.3">
      <c r="O1717" s="24"/>
      <c r="P1717" s="24"/>
      <c r="Q1717" s="24"/>
    </row>
    <row r="1718" spans="15:17" x14ac:dyDescent="0.3">
      <c r="O1718" s="24"/>
      <c r="P1718" s="24"/>
      <c r="Q1718" s="24"/>
    </row>
    <row r="1719" spans="15:17" x14ac:dyDescent="0.3">
      <c r="O1719" s="24"/>
      <c r="P1719" s="24"/>
      <c r="Q1719" s="24"/>
    </row>
    <row r="1720" spans="15:17" x14ac:dyDescent="0.3">
      <c r="O1720" s="24"/>
      <c r="P1720" s="24"/>
      <c r="Q1720" s="24"/>
    </row>
    <row r="1721" spans="15:17" x14ac:dyDescent="0.3">
      <c r="O1721" s="24"/>
      <c r="P1721" s="24"/>
      <c r="Q1721" s="24"/>
    </row>
    <row r="1722" spans="15:17" x14ac:dyDescent="0.3">
      <c r="O1722" s="24"/>
      <c r="P1722" s="24"/>
      <c r="Q1722" s="24"/>
    </row>
    <row r="1723" spans="15:17" x14ac:dyDescent="0.3">
      <c r="O1723" s="24"/>
      <c r="P1723" s="24"/>
      <c r="Q1723" s="24"/>
    </row>
    <row r="1724" spans="15:17" x14ac:dyDescent="0.3">
      <c r="O1724" s="24"/>
      <c r="P1724" s="24"/>
      <c r="Q1724" s="24"/>
    </row>
    <row r="1725" spans="15:17" x14ac:dyDescent="0.3">
      <c r="O1725" s="24"/>
      <c r="P1725" s="24"/>
      <c r="Q1725" s="24"/>
    </row>
    <row r="1726" spans="15:17" x14ac:dyDescent="0.3">
      <c r="O1726" s="24"/>
      <c r="P1726" s="24"/>
      <c r="Q1726" s="24"/>
    </row>
    <row r="1727" spans="15:17" x14ac:dyDescent="0.3">
      <c r="O1727" s="24"/>
      <c r="P1727" s="24"/>
      <c r="Q1727" s="24"/>
    </row>
    <row r="1728" spans="15:17" x14ac:dyDescent="0.3">
      <c r="O1728" s="24"/>
      <c r="P1728" s="24"/>
      <c r="Q1728" s="24"/>
    </row>
    <row r="1729" spans="15:17" x14ac:dyDescent="0.3">
      <c r="O1729" s="24"/>
      <c r="P1729" s="24"/>
      <c r="Q1729" s="24"/>
    </row>
    <row r="1730" spans="15:17" x14ac:dyDescent="0.3">
      <c r="O1730" s="24"/>
      <c r="P1730" s="24"/>
      <c r="Q1730" s="24"/>
    </row>
    <row r="1731" spans="15:17" x14ac:dyDescent="0.3">
      <c r="O1731" s="24"/>
      <c r="P1731" s="24"/>
      <c r="Q1731" s="24"/>
    </row>
    <row r="1732" spans="15:17" x14ac:dyDescent="0.3">
      <c r="O1732" s="24"/>
      <c r="P1732" s="24"/>
      <c r="Q1732" s="24"/>
    </row>
    <row r="1733" spans="15:17" x14ac:dyDescent="0.3">
      <c r="O1733" s="24"/>
      <c r="P1733" s="24"/>
      <c r="Q1733" s="24"/>
    </row>
    <row r="1734" spans="15:17" x14ac:dyDescent="0.3">
      <c r="O1734" s="24"/>
      <c r="P1734" s="24"/>
      <c r="Q1734" s="24"/>
    </row>
    <row r="1735" spans="15:17" x14ac:dyDescent="0.3">
      <c r="O1735" s="24"/>
      <c r="P1735" s="24"/>
      <c r="Q1735" s="24"/>
    </row>
    <row r="1736" spans="15:17" x14ac:dyDescent="0.3">
      <c r="O1736" s="24"/>
      <c r="P1736" s="24"/>
      <c r="Q1736" s="24"/>
    </row>
    <row r="1737" spans="15:17" x14ac:dyDescent="0.3">
      <c r="O1737" s="24"/>
      <c r="P1737" s="24"/>
      <c r="Q1737" s="24"/>
    </row>
    <row r="1738" spans="15:17" x14ac:dyDescent="0.3">
      <c r="O1738" s="24"/>
      <c r="P1738" s="24"/>
      <c r="Q1738" s="24"/>
    </row>
    <row r="1739" spans="15:17" x14ac:dyDescent="0.3">
      <c r="O1739" s="24"/>
      <c r="P1739" s="24"/>
      <c r="Q1739" s="24"/>
    </row>
    <row r="1740" spans="15:17" x14ac:dyDescent="0.3">
      <c r="O1740" s="24"/>
      <c r="P1740" s="24"/>
      <c r="Q1740" s="24"/>
    </row>
    <row r="1741" spans="15:17" x14ac:dyDescent="0.3">
      <c r="O1741" s="24"/>
      <c r="P1741" s="24"/>
      <c r="Q1741" s="24"/>
    </row>
    <row r="1742" spans="15:17" x14ac:dyDescent="0.3">
      <c r="O1742" s="24"/>
      <c r="P1742" s="24"/>
      <c r="Q1742" s="24"/>
    </row>
    <row r="1743" spans="15:17" x14ac:dyDescent="0.3">
      <c r="O1743" s="24"/>
      <c r="P1743" s="24"/>
      <c r="Q1743" s="24"/>
    </row>
    <row r="1744" spans="15:17" x14ac:dyDescent="0.3">
      <c r="O1744" s="24"/>
      <c r="P1744" s="24"/>
      <c r="Q1744" s="24"/>
    </row>
    <row r="1745" spans="15:17" x14ac:dyDescent="0.3">
      <c r="O1745" s="24"/>
      <c r="P1745" s="24"/>
      <c r="Q1745" s="24"/>
    </row>
    <row r="1746" spans="15:17" x14ac:dyDescent="0.3">
      <c r="O1746" s="24"/>
      <c r="P1746" s="24"/>
      <c r="Q1746" s="24"/>
    </row>
    <row r="1747" spans="15:17" x14ac:dyDescent="0.3">
      <c r="O1747" s="24"/>
      <c r="P1747" s="24"/>
      <c r="Q1747" s="24"/>
    </row>
    <row r="1748" spans="15:17" x14ac:dyDescent="0.3">
      <c r="O1748" s="24"/>
      <c r="P1748" s="24"/>
      <c r="Q1748" s="24"/>
    </row>
    <row r="1749" spans="15:17" x14ac:dyDescent="0.3">
      <c r="O1749" s="24"/>
      <c r="P1749" s="24"/>
      <c r="Q1749" s="24"/>
    </row>
    <row r="1750" spans="15:17" x14ac:dyDescent="0.3">
      <c r="O1750" s="24"/>
      <c r="P1750" s="24"/>
      <c r="Q1750" s="24"/>
    </row>
    <row r="1751" spans="15:17" x14ac:dyDescent="0.3">
      <c r="O1751" s="24"/>
      <c r="P1751" s="24"/>
      <c r="Q1751" s="24"/>
    </row>
    <row r="1752" spans="15:17" x14ac:dyDescent="0.3">
      <c r="O1752" s="24"/>
      <c r="P1752" s="24"/>
      <c r="Q1752" s="24"/>
    </row>
    <row r="1753" spans="15:17" x14ac:dyDescent="0.3">
      <c r="O1753" s="24"/>
      <c r="P1753" s="24"/>
      <c r="Q1753" s="24"/>
    </row>
    <row r="1754" spans="15:17" x14ac:dyDescent="0.3">
      <c r="O1754" s="24"/>
      <c r="P1754" s="24"/>
      <c r="Q1754" s="24"/>
    </row>
    <row r="1755" spans="15:17" x14ac:dyDescent="0.3">
      <c r="O1755" s="24"/>
      <c r="P1755" s="24"/>
      <c r="Q1755" s="24"/>
    </row>
    <row r="1756" spans="15:17" x14ac:dyDescent="0.3">
      <c r="O1756" s="24"/>
      <c r="P1756" s="24"/>
      <c r="Q1756" s="24"/>
    </row>
    <row r="1757" spans="15:17" x14ac:dyDescent="0.3">
      <c r="O1757" s="24"/>
      <c r="P1757" s="24"/>
      <c r="Q1757" s="24"/>
    </row>
    <row r="1758" spans="15:17" x14ac:dyDescent="0.3">
      <c r="O1758" s="24"/>
      <c r="P1758" s="24"/>
      <c r="Q1758" s="24"/>
    </row>
    <row r="1759" spans="15:17" x14ac:dyDescent="0.3">
      <c r="O1759" s="24"/>
      <c r="P1759" s="24"/>
      <c r="Q1759" s="24"/>
    </row>
    <row r="1760" spans="15:17" x14ac:dyDescent="0.3">
      <c r="O1760" s="24"/>
      <c r="P1760" s="24"/>
      <c r="Q1760" s="24"/>
    </row>
    <row r="1761" spans="15:17" x14ac:dyDescent="0.3">
      <c r="O1761" s="24"/>
      <c r="P1761" s="24"/>
      <c r="Q1761" s="24"/>
    </row>
    <row r="1762" spans="15:17" x14ac:dyDescent="0.3">
      <c r="O1762" s="24"/>
      <c r="P1762" s="24"/>
      <c r="Q1762" s="24"/>
    </row>
    <row r="1763" spans="15:17" x14ac:dyDescent="0.3">
      <c r="O1763" s="24"/>
      <c r="P1763" s="24"/>
      <c r="Q1763" s="24"/>
    </row>
    <row r="1764" spans="15:17" x14ac:dyDescent="0.3">
      <c r="O1764" s="24"/>
      <c r="P1764" s="24"/>
      <c r="Q1764" s="24"/>
    </row>
    <row r="1765" spans="15:17" x14ac:dyDescent="0.3">
      <c r="O1765" s="24"/>
      <c r="P1765" s="24"/>
      <c r="Q1765" s="24"/>
    </row>
    <row r="1766" spans="15:17" x14ac:dyDescent="0.3">
      <c r="O1766" s="24"/>
      <c r="P1766" s="24"/>
      <c r="Q1766" s="24"/>
    </row>
    <row r="1767" spans="15:17" x14ac:dyDescent="0.3">
      <c r="O1767" s="24"/>
      <c r="P1767" s="24"/>
      <c r="Q1767" s="24"/>
    </row>
    <row r="1768" spans="15:17" x14ac:dyDescent="0.3">
      <c r="O1768" s="24"/>
      <c r="P1768" s="24"/>
      <c r="Q1768" s="24"/>
    </row>
    <row r="1769" spans="15:17" x14ac:dyDescent="0.3">
      <c r="O1769" s="24"/>
      <c r="P1769" s="24"/>
      <c r="Q1769" s="24"/>
    </row>
    <row r="1770" spans="15:17" x14ac:dyDescent="0.3">
      <c r="O1770" s="24"/>
      <c r="P1770" s="24"/>
      <c r="Q1770" s="24"/>
    </row>
    <row r="1771" spans="15:17" x14ac:dyDescent="0.3">
      <c r="O1771" s="24"/>
      <c r="P1771" s="24"/>
      <c r="Q1771" s="24"/>
    </row>
    <row r="1772" spans="15:17" x14ac:dyDescent="0.3">
      <c r="O1772" s="24"/>
      <c r="P1772" s="24"/>
      <c r="Q1772" s="24"/>
    </row>
    <row r="1773" spans="15:17" x14ac:dyDescent="0.3">
      <c r="O1773" s="24"/>
      <c r="P1773" s="24"/>
      <c r="Q1773" s="24"/>
    </row>
    <row r="1774" spans="15:17" x14ac:dyDescent="0.3">
      <c r="O1774" s="24"/>
      <c r="P1774" s="24"/>
      <c r="Q1774" s="24"/>
    </row>
    <row r="1775" spans="15:17" x14ac:dyDescent="0.3">
      <c r="O1775" s="24"/>
      <c r="P1775" s="24"/>
      <c r="Q1775" s="24"/>
    </row>
    <row r="1776" spans="15:17" x14ac:dyDescent="0.3">
      <c r="O1776" s="24"/>
      <c r="P1776" s="24"/>
      <c r="Q1776" s="24"/>
    </row>
    <row r="1777" spans="15:17" x14ac:dyDescent="0.3">
      <c r="O1777" s="24"/>
      <c r="P1777" s="24"/>
      <c r="Q1777" s="24"/>
    </row>
    <row r="1778" spans="15:17" x14ac:dyDescent="0.3">
      <c r="O1778" s="24"/>
      <c r="P1778" s="24"/>
      <c r="Q1778" s="24"/>
    </row>
    <row r="1779" spans="15:17" x14ac:dyDescent="0.3">
      <c r="O1779" s="24"/>
      <c r="P1779" s="24"/>
      <c r="Q1779" s="24"/>
    </row>
    <row r="1780" spans="15:17" x14ac:dyDescent="0.3">
      <c r="O1780" s="24"/>
      <c r="P1780" s="24"/>
      <c r="Q1780" s="24"/>
    </row>
    <row r="1781" spans="15:17" x14ac:dyDescent="0.3">
      <c r="O1781" s="24"/>
      <c r="P1781" s="24"/>
      <c r="Q1781" s="24"/>
    </row>
    <row r="1782" spans="15:17" x14ac:dyDescent="0.3">
      <c r="O1782" s="24"/>
      <c r="P1782" s="24"/>
      <c r="Q1782" s="24"/>
    </row>
    <row r="1783" spans="15:17" x14ac:dyDescent="0.3">
      <c r="O1783" s="24"/>
      <c r="P1783" s="24"/>
      <c r="Q1783" s="24"/>
    </row>
    <row r="1784" spans="15:17" x14ac:dyDescent="0.3">
      <c r="O1784" s="24"/>
      <c r="P1784" s="24"/>
      <c r="Q1784" s="24"/>
    </row>
    <row r="1785" spans="15:17" x14ac:dyDescent="0.3">
      <c r="O1785" s="24"/>
      <c r="P1785" s="24"/>
      <c r="Q1785" s="24"/>
    </row>
    <row r="1786" spans="15:17" x14ac:dyDescent="0.3">
      <c r="O1786" s="24"/>
      <c r="P1786" s="24"/>
      <c r="Q1786" s="24"/>
    </row>
    <row r="1787" spans="15:17" x14ac:dyDescent="0.3">
      <c r="O1787" s="24"/>
      <c r="P1787" s="24"/>
      <c r="Q1787" s="24"/>
    </row>
    <row r="1788" spans="15:17" x14ac:dyDescent="0.3">
      <c r="O1788" s="24"/>
      <c r="P1788" s="24"/>
      <c r="Q1788" s="24"/>
    </row>
    <row r="1789" spans="15:17" x14ac:dyDescent="0.3">
      <c r="O1789" s="24"/>
      <c r="P1789" s="24"/>
      <c r="Q1789" s="24"/>
    </row>
    <row r="1790" spans="15:17" x14ac:dyDescent="0.3">
      <c r="O1790" s="24"/>
      <c r="P1790" s="24"/>
      <c r="Q1790" s="24"/>
    </row>
    <row r="1791" spans="15:17" x14ac:dyDescent="0.3">
      <c r="O1791" s="24"/>
      <c r="P1791" s="24"/>
      <c r="Q1791" s="24"/>
    </row>
    <row r="1792" spans="15:17" x14ac:dyDescent="0.3">
      <c r="O1792" s="24"/>
      <c r="P1792" s="24"/>
      <c r="Q1792" s="24"/>
    </row>
    <row r="1793" spans="15:17" x14ac:dyDescent="0.3">
      <c r="O1793" s="24"/>
      <c r="P1793" s="24"/>
      <c r="Q1793" s="24"/>
    </row>
    <row r="1794" spans="15:17" x14ac:dyDescent="0.3">
      <c r="O1794" s="24"/>
      <c r="P1794" s="24"/>
      <c r="Q1794" s="24"/>
    </row>
    <row r="1795" spans="15:17" x14ac:dyDescent="0.3">
      <c r="O1795" s="24"/>
      <c r="P1795" s="24"/>
      <c r="Q1795" s="24"/>
    </row>
    <row r="1796" spans="15:17" x14ac:dyDescent="0.3">
      <c r="O1796" s="24"/>
      <c r="P1796" s="24"/>
      <c r="Q1796" s="24"/>
    </row>
    <row r="1797" spans="15:17" x14ac:dyDescent="0.3">
      <c r="O1797" s="24"/>
      <c r="P1797" s="24"/>
      <c r="Q1797" s="24"/>
    </row>
    <row r="1798" spans="15:17" x14ac:dyDescent="0.3">
      <c r="O1798" s="24"/>
      <c r="P1798" s="24"/>
      <c r="Q1798" s="24"/>
    </row>
    <row r="1799" spans="15:17" x14ac:dyDescent="0.3">
      <c r="O1799" s="24"/>
      <c r="P1799" s="24"/>
      <c r="Q1799" s="24"/>
    </row>
    <row r="1800" spans="15:17" x14ac:dyDescent="0.3">
      <c r="O1800" s="24"/>
      <c r="P1800" s="24"/>
      <c r="Q1800" s="24"/>
    </row>
    <row r="1801" spans="15:17" x14ac:dyDescent="0.3">
      <c r="O1801" s="24"/>
      <c r="P1801" s="24"/>
      <c r="Q1801" s="24"/>
    </row>
    <row r="1802" spans="15:17" x14ac:dyDescent="0.3">
      <c r="O1802" s="24"/>
      <c r="P1802" s="24"/>
      <c r="Q1802" s="24"/>
    </row>
    <row r="1803" spans="15:17" x14ac:dyDescent="0.3">
      <c r="O1803" s="24"/>
      <c r="P1803" s="24"/>
      <c r="Q1803" s="24"/>
    </row>
    <row r="1804" spans="15:17" x14ac:dyDescent="0.3">
      <c r="O1804" s="24"/>
      <c r="P1804" s="24"/>
      <c r="Q1804" s="24"/>
    </row>
    <row r="1805" spans="15:17" x14ac:dyDescent="0.3">
      <c r="O1805" s="24"/>
      <c r="P1805" s="24"/>
      <c r="Q1805" s="24"/>
    </row>
    <row r="1806" spans="15:17" x14ac:dyDescent="0.3">
      <c r="O1806" s="24"/>
      <c r="P1806" s="24"/>
      <c r="Q1806" s="24"/>
    </row>
    <row r="1807" spans="15:17" x14ac:dyDescent="0.3">
      <c r="O1807" s="24"/>
      <c r="P1807" s="24"/>
      <c r="Q1807" s="24"/>
    </row>
    <row r="1808" spans="15:17" x14ac:dyDescent="0.3">
      <c r="O1808" s="24"/>
      <c r="P1808" s="24"/>
      <c r="Q1808" s="24"/>
    </row>
    <row r="1809" spans="15:17" x14ac:dyDescent="0.3">
      <c r="O1809" s="24"/>
      <c r="P1809" s="24"/>
      <c r="Q1809" s="24"/>
    </row>
    <row r="1810" spans="15:17" x14ac:dyDescent="0.3">
      <c r="O1810" s="24"/>
      <c r="P1810" s="24"/>
      <c r="Q1810" s="24"/>
    </row>
    <row r="1811" spans="15:17" x14ac:dyDescent="0.3">
      <c r="O1811" s="24"/>
      <c r="P1811" s="24"/>
      <c r="Q1811" s="24"/>
    </row>
    <row r="1812" spans="15:17" x14ac:dyDescent="0.3">
      <c r="O1812" s="24"/>
      <c r="P1812" s="24"/>
      <c r="Q1812" s="24"/>
    </row>
    <row r="1813" spans="15:17" x14ac:dyDescent="0.3">
      <c r="O1813" s="24"/>
      <c r="P1813" s="24"/>
      <c r="Q1813" s="24"/>
    </row>
    <row r="1814" spans="15:17" x14ac:dyDescent="0.3">
      <c r="O1814" s="24"/>
      <c r="P1814" s="24"/>
      <c r="Q1814" s="24"/>
    </row>
    <row r="1815" spans="15:17" x14ac:dyDescent="0.3">
      <c r="O1815" s="24"/>
      <c r="P1815" s="24"/>
      <c r="Q1815" s="24"/>
    </row>
    <row r="1816" spans="15:17" x14ac:dyDescent="0.3">
      <c r="O1816" s="24"/>
      <c r="P1816" s="24"/>
      <c r="Q1816" s="24"/>
    </row>
    <row r="1817" spans="15:17" x14ac:dyDescent="0.3">
      <c r="O1817" s="24"/>
      <c r="P1817" s="24"/>
      <c r="Q1817" s="24"/>
    </row>
    <row r="1818" spans="15:17" x14ac:dyDescent="0.3">
      <c r="O1818" s="24"/>
      <c r="P1818" s="24"/>
      <c r="Q1818" s="24"/>
    </row>
    <row r="1819" spans="15:17" x14ac:dyDescent="0.3">
      <c r="O1819" s="24"/>
      <c r="P1819" s="24"/>
      <c r="Q1819" s="24"/>
    </row>
    <row r="1820" spans="15:17" x14ac:dyDescent="0.3">
      <c r="O1820" s="24"/>
      <c r="P1820" s="24"/>
      <c r="Q1820" s="24"/>
    </row>
    <row r="1821" spans="15:17" x14ac:dyDescent="0.3">
      <c r="O1821" s="24"/>
      <c r="P1821" s="24"/>
      <c r="Q1821" s="24"/>
    </row>
    <row r="1822" spans="15:17" x14ac:dyDescent="0.3">
      <c r="O1822" s="24"/>
      <c r="P1822" s="24"/>
      <c r="Q1822" s="24"/>
    </row>
    <row r="1823" spans="15:17" x14ac:dyDescent="0.3">
      <c r="O1823" s="24"/>
      <c r="P1823" s="24"/>
      <c r="Q1823" s="24"/>
    </row>
    <row r="1824" spans="15:17" x14ac:dyDescent="0.3">
      <c r="O1824" s="24"/>
      <c r="P1824" s="24"/>
      <c r="Q1824" s="24"/>
    </row>
    <row r="1825" spans="15:17" x14ac:dyDescent="0.3">
      <c r="O1825" s="24"/>
      <c r="P1825" s="24"/>
      <c r="Q1825" s="24"/>
    </row>
    <row r="1826" spans="15:17" x14ac:dyDescent="0.3">
      <c r="O1826" s="24"/>
      <c r="P1826" s="24"/>
      <c r="Q1826" s="24"/>
    </row>
    <row r="1827" spans="15:17" x14ac:dyDescent="0.3">
      <c r="O1827" s="24"/>
      <c r="P1827" s="24"/>
      <c r="Q1827" s="24"/>
    </row>
    <row r="1828" spans="15:17" x14ac:dyDescent="0.3">
      <c r="O1828" s="24"/>
      <c r="P1828" s="24"/>
      <c r="Q1828" s="24"/>
    </row>
    <row r="1829" spans="15:17" x14ac:dyDescent="0.3">
      <c r="O1829" s="24"/>
      <c r="P1829" s="24"/>
      <c r="Q1829" s="24"/>
    </row>
    <row r="1830" spans="15:17" x14ac:dyDescent="0.3">
      <c r="O1830" s="24"/>
      <c r="P1830" s="24"/>
      <c r="Q1830" s="24"/>
    </row>
    <row r="1831" spans="15:17" x14ac:dyDescent="0.3">
      <c r="O1831" s="24"/>
      <c r="P1831" s="24"/>
      <c r="Q1831" s="24"/>
    </row>
    <row r="1832" spans="15:17" x14ac:dyDescent="0.3">
      <c r="O1832" s="24"/>
      <c r="P1832" s="24"/>
      <c r="Q1832" s="24"/>
    </row>
    <row r="1833" spans="15:17" x14ac:dyDescent="0.3">
      <c r="O1833" s="24"/>
      <c r="P1833" s="24"/>
      <c r="Q1833" s="24"/>
    </row>
    <row r="1834" spans="15:17" x14ac:dyDescent="0.3">
      <c r="O1834" s="24"/>
      <c r="P1834" s="24"/>
      <c r="Q1834" s="24"/>
    </row>
    <row r="1835" spans="15:17" x14ac:dyDescent="0.3">
      <c r="O1835" s="24"/>
      <c r="P1835" s="24"/>
      <c r="Q1835" s="24"/>
    </row>
    <row r="1836" spans="15:17" x14ac:dyDescent="0.3">
      <c r="O1836" s="24"/>
      <c r="P1836" s="24"/>
      <c r="Q1836" s="24"/>
    </row>
    <row r="1837" spans="15:17" x14ac:dyDescent="0.3">
      <c r="O1837" s="24"/>
      <c r="P1837" s="24"/>
      <c r="Q1837" s="24"/>
    </row>
    <row r="1838" spans="15:17" x14ac:dyDescent="0.3">
      <c r="O1838" s="24"/>
      <c r="P1838" s="24"/>
      <c r="Q1838" s="24"/>
    </row>
    <row r="1839" spans="15:17" x14ac:dyDescent="0.3">
      <c r="O1839" s="24"/>
      <c r="P1839" s="24"/>
      <c r="Q1839" s="24"/>
    </row>
    <row r="1840" spans="15:17" x14ac:dyDescent="0.3">
      <c r="O1840" s="24"/>
      <c r="P1840" s="24"/>
      <c r="Q1840" s="24"/>
    </row>
    <row r="1841" spans="15:17" x14ac:dyDescent="0.3">
      <c r="O1841" s="24"/>
      <c r="P1841" s="24"/>
      <c r="Q1841" s="24"/>
    </row>
    <row r="1842" spans="15:17" x14ac:dyDescent="0.3">
      <c r="O1842" s="24"/>
      <c r="P1842" s="24"/>
      <c r="Q1842" s="24"/>
    </row>
    <row r="1843" spans="15:17" x14ac:dyDescent="0.3">
      <c r="O1843" s="24"/>
      <c r="P1843" s="24"/>
      <c r="Q1843" s="24"/>
    </row>
    <row r="1844" spans="15:17" x14ac:dyDescent="0.3">
      <c r="O1844" s="24"/>
      <c r="P1844" s="24"/>
      <c r="Q1844" s="24"/>
    </row>
    <row r="1845" spans="15:17" x14ac:dyDescent="0.3">
      <c r="O1845" s="24"/>
      <c r="P1845" s="24"/>
      <c r="Q1845" s="24"/>
    </row>
    <row r="1846" spans="15:17" x14ac:dyDescent="0.3">
      <c r="O1846" s="24"/>
      <c r="P1846" s="24"/>
      <c r="Q1846" s="24"/>
    </row>
    <row r="1847" spans="15:17" x14ac:dyDescent="0.3">
      <c r="O1847" s="24"/>
      <c r="P1847" s="24"/>
      <c r="Q1847" s="24"/>
    </row>
    <row r="1848" spans="15:17" x14ac:dyDescent="0.3">
      <c r="O1848" s="24"/>
      <c r="P1848" s="24"/>
      <c r="Q1848" s="24"/>
    </row>
    <row r="1849" spans="15:17" x14ac:dyDescent="0.3">
      <c r="O1849" s="24"/>
      <c r="P1849" s="24"/>
      <c r="Q1849" s="24"/>
    </row>
    <row r="1850" spans="15:17" x14ac:dyDescent="0.3">
      <c r="O1850" s="24"/>
      <c r="P1850" s="24"/>
      <c r="Q1850" s="24"/>
    </row>
    <row r="1851" spans="15:17" x14ac:dyDescent="0.3">
      <c r="O1851" s="24"/>
      <c r="P1851" s="24"/>
      <c r="Q1851" s="24"/>
    </row>
    <row r="1852" spans="15:17" x14ac:dyDescent="0.3">
      <c r="O1852" s="24"/>
      <c r="P1852" s="24"/>
      <c r="Q1852" s="24"/>
    </row>
    <row r="1853" spans="15:17" x14ac:dyDescent="0.3">
      <c r="O1853" s="24"/>
      <c r="P1853" s="24"/>
      <c r="Q1853" s="24"/>
    </row>
    <row r="1854" spans="15:17" x14ac:dyDescent="0.3">
      <c r="O1854" s="24"/>
      <c r="P1854" s="24"/>
      <c r="Q1854" s="24"/>
    </row>
    <row r="1855" spans="15:17" x14ac:dyDescent="0.3">
      <c r="O1855" s="24"/>
      <c r="P1855" s="24"/>
      <c r="Q1855" s="24"/>
    </row>
    <row r="1856" spans="15:17" x14ac:dyDescent="0.3">
      <c r="O1856" s="24"/>
      <c r="P1856" s="24"/>
      <c r="Q1856" s="24"/>
    </row>
    <row r="1857" spans="15:17" x14ac:dyDescent="0.3">
      <c r="O1857" s="24"/>
      <c r="P1857" s="24"/>
      <c r="Q1857" s="24"/>
    </row>
    <row r="1858" spans="15:17" x14ac:dyDescent="0.3">
      <c r="O1858" s="24"/>
      <c r="P1858" s="24"/>
      <c r="Q1858" s="24"/>
    </row>
    <row r="1859" spans="15:17" x14ac:dyDescent="0.3">
      <c r="O1859" s="24"/>
      <c r="P1859" s="24"/>
      <c r="Q1859" s="24"/>
    </row>
    <row r="1860" spans="15:17" x14ac:dyDescent="0.3">
      <c r="O1860" s="24"/>
      <c r="P1860" s="24"/>
      <c r="Q1860" s="24"/>
    </row>
    <row r="1861" spans="15:17" x14ac:dyDescent="0.3">
      <c r="O1861" s="24"/>
      <c r="P1861" s="24"/>
      <c r="Q1861" s="24"/>
    </row>
    <row r="1862" spans="15:17" x14ac:dyDescent="0.3">
      <c r="O1862" s="24"/>
      <c r="P1862" s="24"/>
      <c r="Q1862" s="24"/>
    </row>
    <row r="1863" spans="15:17" x14ac:dyDescent="0.3">
      <c r="O1863" s="24"/>
      <c r="P1863" s="24"/>
      <c r="Q1863" s="24"/>
    </row>
    <row r="1864" spans="15:17" x14ac:dyDescent="0.3">
      <c r="O1864" s="24"/>
      <c r="P1864" s="24"/>
      <c r="Q1864" s="24"/>
    </row>
    <row r="1865" spans="15:17" x14ac:dyDescent="0.3">
      <c r="O1865" s="24"/>
      <c r="P1865" s="24"/>
      <c r="Q1865" s="24"/>
    </row>
    <row r="1866" spans="15:17" x14ac:dyDescent="0.3">
      <c r="O1866" s="24"/>
      <c r="P1866" s="24"/>
      <c r="Q1866" s="24"/>
    </row>
    <row r="1867" spans="15:17" x14ac:dyDescent="0.3">
      <c r="O1867" s="24"/>
      <c r="P1867" s="24"/>
      <c r="Q1867" s="24"/>
    </row>
    <row r="1868" spans="15:17" x14ac:dyDescent="0.3">
      <c r="O1868" s="24"/>
      <c r="P1868" s="24"/>
      <c r="Q1868" s="24"/>
    </row>
    <row r="1869" spans="15:17" x14ac:dyDescent="0.3">
      <c r="O1869" s="24"/>
      <c r="P1869" s="24"/>
      <c r="Q1869" s="24"/>
    </row>
    <row r="1870" spans="15:17" x14ac:dyDescent="0.3">
      <c r="O1870" s="24"/>
      <c r="P1870" s="24"/>
      <c r="Q1870" s="24"/>
    </row>
    <row r="1871" spans="15:17" x14ac:dyDescent="0.3">
      <c r="O1871" s="24"/>
      <c r="P1871" s="24"/>
      <c r="Q1871" s="24"/>
    </row>
    <row r="1872" spans="15:17" x14ac:dyDescent="0.3">
      <c r="O1872" s="24"/>
      <c r="P1872" s="24"/>
      <c r="Q1872" s="24"/>
    </row>
    <row r="1873" spans="15:17" x14ac:dyDescent="0.3">
      <c r="O1873" s="24"/>
      <c r="P1873" s="24"/>
      <c r="Q1873" s="24"/>
    </row>
    <row r="1874" spans="15:17" x14ac:dyDescent="0.3">
      <c r="O1874" s="24"/>
      <c r="P1874" s="24"/>
      <c r="Q1874" s="24"/>
    </row>
    <row r="1875" spans="15:17" x14ac:dyDescent="0.3">
      <c r="O1875" s="24"/>
      <c r="P1875" s="24"/>
      <c r="Q1875" s="24"/>
    </row>
    <row r="1876" spans="15:17" x14ac:dyDescent="0.3">
      <c r="O1876" s="24"/>
      <c r="P1876" s="24"/>
      <c r="Q1876" s="24"/>
    </row>
    <row r="1877" spans="15:17" x14ac:dyDescent="0.3">
      <c r="O1877" s="24"/>
      <c r="P1877" s="24"/>
      <c r="Q1877" s="24"/>
    </row>
    <row r="1878" spans="15:17" x14ac:dyDescent="0.3">
      <c r="O1878" s="24"/>
      <c r="P1878" s="24"/>
      <c r="Q1878" s="24"/>
    </row>
    <row r="1879" spans="15:17" x14ac:dyDescent="0.3">
      <c r="O1879" s="24"/>
      <c r="P1879" s="24"/>
      <c r="Q1879" s="24"/>
    </row>
    <row r="1880" spans="15:17" x14ac:dyDescent="0.3">
      <c r="O1880" s="24"/>
      <c r="P1880" s="24"/>
      <c r="Q1880" s="24"/>
    </row>
    <row r="1881" spans="15:17" x14ac:dyDescent="0.3">
      <c r="O1881" s="24"/>
      <c r="P1881" s="24"/>
      <c r="Q1881" s="24"/>
    </row>
    <row r="1882" spans="15:17" x14ac:dyDescent="0.3">
      <c r="O1882" s="24"/>
      <c r="P1882" s="24"/>
      <c r="Q1882" s="24"/>
    </row>
    <row r="1883" spans="15:17" x14ac:dyDescent="0.3">
      <c r="O1883" s="24"/>
      <c r="P1883" s="24"/>
      <c r="Q1883" s="24"/>
    </row>
    <row r="1884" spans="15:17" x14ac:dyDescent="0.3">
      <c r="O1884" s="24"/>
      <c r="P1884" s="24"/>
      <c r="Q1884" s="24"/>
    </row>
    <row r="1885" spans="15:17" x14ac:dyDescent="0.3">
      <c r="O1885" s="24"/>
      <c r="P1885" s="24"/>
      <c r="Q1885" s="24"/>
    </row>
    <row r="1886" spans="15:17" x14ac:dyDescent="0.3">
      <c r="O1886" s="24"/>
      <c r="P1886" s="24"/>
      <c r="Q1886" s="24"/>
    </row>
    <row r="1887" spans="15:17" x14ac:dyDescent="0.3">
      <c r="O1887" s="24"/>
      <c r="P1887" s="24"/>
      <c r="Q1887" s="24"/>
    </row>
    <row r="1888" spans="15:17" x14ac:dyDescent="0.3">
      <c r="O1888" s="24"/>
      <c r="P1888" s="24"/>
      <c r="Q1888" s="24"/>
    </row>
    <row r="1889" spans="15:17" x14ac:dyDescent="0.3">
      <c r="O1889" s="24"/>
      <c r="P1889" s="24"/>
      <c r="Q1889" s="24"/>
    </row>
    <row r="1890" spans="15:17" x14ac:dyDescent="0.3">
      <c r="O1890" s="24"/>
      <c r="P1890" s="24"/>
      <c r="Q1890" s="24"/>
    </row>
    <row r="1891" spans="15:17" x14ac:dyDescent="0.3">
      <c r="O1891" s="24"/>
      <c r="P1891" s="24"/>
      <c r="Q1891" s="24"/>
    </row>
    <row r="1892" spans="15:17" x14ac:dyDescent="0.3">
      <c r="O1892" s="24"/>
      <c r="P1892" s="24"/>
      <c r="Q1892" s="24"/>
    </row>
    <row r="1893" spans="15:17" x14ac:dyDescent="0.3">
      <c r="O1893" s="24"/>
      <c r="P1893" s="24"/>
      <c r="Q1893" s="24"/>
    </row>
    <row r="1894" spans="15:17" x14ac:dyDescent="0.3">
      <c r="O1894" s="24"/>
      <c r="P1894" s="24"/>
      <c r="Q1894" s="24"/>
    </row>
    <row r="1895" spans="15:17" x14ac:dyDescent="0.3">
      <c r="O1895" s="24"/>
      <c r="P1895" s="24"/>
      <c r="Q1895" s="24"/>
    </row>
    <row r="1896" spans="15:17" x14ac:dyDescent="0.3">
      <c r="O1896" s="24"/>
      <c r="P1896" s="24"/>
      <c r="Q1896" s="24"/>
    </row>
    <row r="1897" spans="15:17" x14ac:dyDescent="0.3">
      <c r="O1897" s="24"/>
      <c r="P1897" s="24"/>
      <c r="Q1897" s="24"/>
    </row>
    <row r="1898" spans="15:17" x14ac:dyDescent="0.3">
      <c r="O1898" s="24"/>
      <c r="P1898" s="24"/>
      <c r="Q1898" s="24"/>
    </row>
    <row r="1899" spans="15:17" x14ac:dyDescent="0.3">
      <c r="O1899" s="24"/>
      <c r="P1899" s="24"/>
      <c r="Q1899" s="24"/>
    </row>
    <row r="1900" spans="15:17" x14ac:dyDescent="0.3">
      <c r="O1900" s="24"/>
      <c r="P1900" s="24"/>
      <c r="Q1900" s="24"/>
    </row>
    <row r="1901" spans="15:17" x14ac:dyDescent="0.3">
      <c r="O1901" s="24"/>
      <c r="P1901" s="24"/>
      <c r="Q1901" s="24"/>
    </row>
    <row r="1902" spans="15:17" x14ac:dyDescent="0.3">
      <c r="O1902" s="24"/>
      <c r="P1902" s="24"/>
      <c r="Q1902" s="24"/>
    </row>
    <row r="1903" spans="15:17" x14ac:dyDescent="0.3">
      <c r="O1903" s="24"/>
      <c r="P1903" s="24"/>
      <c r="Q1903" s="24"/>
    </row>
    <row r="1904" spans="15:17" x14ac:dyDescent="0.3">
      <c r="O1904" s="24"/>
      <c r="P1904" s="24"/>
      <c r="Q1904" s="24"/>
    </row>
    <row r="1905" spans="15:17" x14ac:dyDescent="0.3">
      <c r="O1905" s="24"/>
      <c r="P1905" s="24"/>
      <c r="Q1905" s="24"/>
    </row>
    <row r="1906" spans="15:17" x14ac:dyDescent="0.3">
      <c r="O1906" s="24"/>
      <c r="P1906" s="24"/>
      <c r="Q1906" s="24"/>
    </row>
    <row r="1907" spans="15:17" x14ac:dyDescent="0.3">
      <c r="O1907" s="24"/>
      <c r="P1907" s="24"/>
      <c r="Q1907" s="24"/>
    </row>
    <row r="1908" spans="15:17" x14ac:dyDescent="0.3">
      <c r="O1908" s="24"/>
      <c r="P1908" s="24"/>
      <c r="Q1908" s="24"/>
    </row>
    <row r="1909" spans="15:17" x14ac:dyDescent="0.3">
      <c r="O1909" s="24"/>
      <c r="P1909" s="24"/>
      <c r="Q1909" s="24"/>
    </row>
    <row r="1910" spans="15:17" x14ac:dyDescent="0.3">
      <c r="O1910" s="24"/>
      <c r="P1910" s="24"/>
      <c r="Q1910" s="24"/>
    </row>
    <row r="1911" spans="15:17" x14ac:dyDescent="0.3">
      <c r="O1911" s="24"/>
      <c r="P1911" s="24"/>
      <c r="Q1911" s="24"/>
    </row>
    <row r="1912" spans="15:17" x14ac:dyDescent="0.3">
      <c r="O1912" s="24"/>
      <c r="P1912" s="24"/>
      <c r="Q1912" s="24"/>
    </row>
    <row r="1913" spans="15:17" x14ac:dyDescent="0.3">
      <c r="O1913" s="24"/>
      <c r="P1913" s="24"/>
      <c r="Q1913" s="24"/>
    </row>
    <row r="1914" spans="15:17" x14ac:dyDescent="0.3">
      <c r="O1914" s="24"/>
      <c r="P1914" s="24"/>
      <c r="Q1914" s="24"/>
    </row>
    <row r="1915" spans="15:17" x14ac:dyDescent="0.3">
      <c r="O1915" s="24"/>
      <c r="P1915" s="24"/>
      <c r="Q1915" s="24"/>
    </row>
    <row r="1916" spans="15:17" x14ac:dyDescent="0.3">
      <c r="O1916" s="24"/>
      <c r="P1916" s="24"/>
      <c r="Q1916" s="24"/>
    </row>
    <row r="1917" spans="15:17" x14ac:dyDescent="0.3">
      <c r="O1917" s="24"/>
      <c r="P1917" s="24"/>
      <c r="Q1917" s="24"/>
    </row>
    <row r="1918" spans="15:17" x14ac:dyDescent="0.3">
      <c r="O1918" s="24"/>
      <c r="P1918" s="24"/>
      <c r="Q1918" s="24"/>
    </row>
    <row r="1919" spans="15:17" x14ac:dyDescent="0.3">
      <c r="O1919" s="24"/>
      <c r="P1919" s="24"/>
      <c r="Q1919" s="24"/>
    </row>
    <row r="1920" spans="15:17" x14ac:dyDescent="0.3">
      <c r="O1920" s="24"/>
      <c r="P1920" s="24"/>
      <c r="Q1920" s="24"/>
    </row>
    <row r="1921" spans="15:17" x14ac:dyDescent="0.3">
      <c r="O1921" s="24"/>
      <c r="P1921" s="24"/>
      <c r="Q1921" s="24"/>
    </row>
    <row r="1922" spans="15:17" x14ac:dyDescent="0.3">
      <c r="O1922" s="24"/>
      <c r="P1922" s="24"/>
      <c r="Q1922" s="24"/>
    </row>
    <row r="1923" spans="15:17" x14ac:dyDescent="0.3">
      <c r="O1923" s="24"/>
      <c r="P1923" s="24"/>
      <c r="Q1923" s="24"/>
    </row>
    <row r="1924" spans="15:17" x14ac:dyDescent="0.3">
      <c r="O1924" s="24"/>
      <c r="P1924" s="24"/>
      <c r="Q1924" s="24"/>
    </row>
    <row r="1925" spans="15:17" x14ac:dyDescent="0.3">
      <c r="O1925" s="24"/>
      <c r="P1925" s="24"/>
      <c r="Q1925" s="24"/>
    </row>
    <row r="1926" spans="15:17" x14ac:dyDescent="0.3">
      <c r="O1926" s="24"/>
      <c r="P1926" s="24"/>
      <c r="Q1926" s="24"/>
    </row>
    <row r="1927" spans="15:17" x14ac:dyDescent="0.3">
      <c r="O1927" s="24"/>
      <c r="P1927" s="24"/>
      <c r="Q1927" s="24"/>
    </row>
    <row r="1928" spans="15:17" x14ac:dyDescent="0.3">
      <c r="O1928" s="24"/>
      <c r="P1928" s="24"/>
      <c r="Q1928" s="24"/>
    </row>
    <row r="1929" spans="15:17" x14ac:dyDescent="0.3">
      <c r="O1929" s="24"/>
      <c r="P1929" s="24"/>
      <c r="Q1929" s="24"/>
    </row>
    <row r="1930" spans="15:17" x14ac:dyDescent="0.3">
      <c r="O1930" s="24"/>
      <c r="P1930" s="24"/>
      <c r="Q1930" s="24"/>
    </row>
    <row r="1931" spans="15:17" x14ac:dyDescent="0.3">
      <c r="O1931" s="24"/>
      <c r="P1931" s="24"/>
      <c r="Q1931" s="24"/>
    </row>
    <row r="1932" spans="15:17" x14ac:dyDescent="0.3">
      <c r="O1932" s="24"/>
      <c r="P1932" s="24"/>
      <c r="Q1932" s="24"/>
    </row>
    <row r="1933" spans="15:17" x14ac:dyDescent="0.3">
      <c r="O1933" s="24"/>
      <c r="P1933" s="24"/>
      <c r="Q1933" s="24"/>
    </row>
    <row r="1934" spans="15:17" x14ac:dyDescent="0.3">
      <c r="O1934" s="24"/>
      <c r="P1934" s="24"/>
      <c r="Q1934" s="24"/>
    </row>
    <row r="1935" spans="15:17" x14ac:dyDescent="0.3">
      <c r="O1935" s="24"/>
      <c r="P1935" s="24"/>
      <c r="Q1935" s="24"/>
    </row>
    <row r="1936" spans="15:17" x14ac:dyDescent="0.3">
      <c r="O1936" s="24"/>
      <c r="P1936" s="24"/>
      <c r="Q1936" s="24"/>
    </row>
    <row r="1937" spans="15:17" x14ac:dyDescent="0.3">
      <c r="O1937" s="24"/>
      <c r="P1937" s="24"/>
      <c r="Q1937" s="24"/>
    </row>
    <row r="1938" spans="15:17" x14ac:dyDescent="0.3">
      <c r="O1938" s="24"/>
      <c r="P1938" s="24"/>
      <c r="Q1938" s="24"/>
    </row>
    <row r="1939" spans="15:17" x14ac:dyDescent="0.3">
      <c r="O1939" s="24"/>
      <c r="P1939" s="24"/>
      <c r="Q1939" s="24"/>
    </row>
    <row r="1940" spans="15:17" x14ac:dyDescent="0.3">
      <c r="O1940" s="24"/>
      <c r="P1940" s="24"/>
      <c r="Q1940" s="24"/>
    </row>
    <row r="1941" spans="15:17" x14ac:dyDescent="0.3">
      <c r="O1941" s="24"/>
      <c r="P1941" s="24"/>
      <c r="Q1941" s="24"/>
    </row>
    <row r="1942" spans="15:17" x14ac:dyDescent="0.3">
      <c r="O1942" s="24"/>
      <c r="P1942" s="24"/>
      <c r="Q1942" s="24"/>
    </row>
    <row r="1943" spans="15:17" x14ac:dyDescent="0.3">
      <c r="O1943" s="24"/>
      <c r="P1943" s="24"/>
      <c r="Q1943" s="24"/>
    </row>
    <row r="1944" spans="15:17" x14ac:dyDescent="0.3">
      <c r="O1944" s="24"/>
      <c r="P1944" s="24"/>
      <c r="Q1944" s="24"/>
    </row>
    <row r="1945" spans="15:17" x14ac:dyDescent="0.3">
      <c r="O1945" s="24"/>
      <c r="P1945" s="24"/>
      <c r="Q1945" s="24"/>
    </row>
    <row r="1946" spans="15:17" x14ac:dyDescent="0.3">
      <c r="O1946" s="24"/>
      <c r="P1946" s="24"/>
      <c r="Q1946" s="24"/>
    </row>
    <row r="1947" spans="15:17" x14ac:dyDescent="0.3">
      <c r="O1947" s="24"/>
      <c r="P1947" s="24"/>
      <c r="Q1947" s="24"/>
    </row>
    <row r="1948" spans="15:17" x14ac:dyDescent="0.3">
      <c r="O1948" s="24"/>
      <c r="P1948" s="24"/>
      <c r="Q1948" s="24"/>
    </row>
    <row r="1949" spans="15:17" x14ac:dyDescent="0.3">
      <c r="O1949" s="24"/>
      <c r="P1949" s="24"/>
      <c r="Q1949" s="24"/>
    </row>
    <row r="1950" spans="15:17" x14ac:dyDescent="0.3">
      <c r="O1950" s="24"/>
      <c r="P1950" s="24"/>
      <c r="Q1950" s="24"/>
    </row>
    <row r="1951" spans="15:17" x14ac:dyDescent="0.3">
      <c r="O1951" s="24"/>
      <c r="P1951" s="24"/>
      <c r="Q1951" s="24"/>
    </row>
    <row r="1952" spans="15:17" x14ac:dyDescent="0.3">
      <c r="O1952" s="24"/>
      <c r="P1952" s="24"/>
      <c r="Q1952" s="24"/>
    </row>
    <row r="1953" spans="15:17" x14ac:dyDescent="0.3">
      <c r="O1953" s="24"/>
      <c r="P1953" s="24"/>
      <c r="Q1953" s="24"/>
    </row>
    <row r="1954" spans="15:17" x14ac:dyDescent="0.3">
      <c r="O1954" s="24"/>
      <c r="P1954" s="24"/>
      <c r="Q1954" s="24"/>
    </row>
    <row r="1955" spans="15:17" x14ac:dyDescent="0.3">
      <c r="O1955" s="24"/>
      <c r="P1955" s="24"/>
      <c r="Q1955" s="24"/>
    </row>
    <row r="1956" spans="15:17" x14ac:dyDescent="0.3">
      <c r="O1956" s="24"/>
      <c r="P1956" s="24"/>
      <c r="Q1956" s="24"/>
    </row>
    <row r="1957" spans="15:17" x14ac:dyDescent="0.3">
      <c r="O1957" s="24"/>
      <c r="P1957" s="24"/>
      <c r="Q1957" s="24"/>
    </row>
    <row r="1958" spans="15:17" x14ac:dyDescent="0.3">
      <c r="O1958" s="24"/>
      <c r="P1958" s="24"/>
      <c r="Q1958" s="24"/>
    </row>
    <row r="1959" spans="15:17" x14ac:dyDescent="0.3">
      <c r="O1959" s="24"/>
      <c r="P1959" s="24"/>
      <c r="Q1959" s="24"/>
    </row>
    <row r="1960" spans="15:17" x14ac:dyDescent="0.3">
      <c r="O1960" s="24"/>
      <c r="P1960" s="24"/>
      <c r="Q1960" s="24"/>
    </row>
    <row r="1961" spans="15:17" x14ac:dyDescent="0.3">
      <c r="O1961" s="24"/>
      <c r="P1961" s="24"/>
      <c r="Q1961" s="24"/>
    </row>
    <row r="1962" spans="15:17" x14ac:dyDescent="0.3">
      <c r="O1962" s="24"/>
      <c r="P1962" s="24"/>
      <c r="Q1962" s="24"/>
    </row>
    <row r="1963" spans="15:17" x14ac:dyDescent="0.3">
      <c r="O1963" s="24"/>
      <c r="P1963" s="24"/>
      <c r="Q1963" s="24"/>
    </row>
    <row r="1964" spans="15:17" x14ac:dyDescent="0.3">
      <c r="O1964" s="24"/>
      <c r="P1964" s="24"/>
      <c r="Q1964" s="24"/>
    </row>
    <row r="1965" spans="15:17" x14ac:dyDescent="0.3">
      <c r="O1965" s="24"/>
      <c r="P1965" s="24"/>
      <c r="Q1965" s="24"/>
    </row>
    <row r="1966" spans="15:17" x14ac:dyDescent="0.3">
      <c r="O1966" s="24"/>
      <c r="P1966" s="24"/>
      <c r="Q1966" s="24"/>
    </row>
    <row r="1967" spans="15:17" x14ac:dyDescent="0.3">
      <c r="O1967" s="24"/>
      <c r="P1967" s="24"/>
      <c r="Q1967" s="24"/>
    </row>
    <row r="1968" spans="15:17" x14ac:dyDescent="0.3">
      <c r="O1968" s="24"/>
      <c r="P1968" s="24"/>
      <c r="Q1968" s="24"/>
    </row>
    <row r="1969" spans="15:17" x14ac:dyDescent="0.3">
      <c r="O1969" s="24"/>
      <c r="P1969" s="24"/>
      <c r="Q1969" s="24"/>
    </row>
    <row r="1970" spans="15:17" x14ac:dyDescent="0.3">
      <c r="O1970" s="24"/>
      <c r="P1970" s="24"/>
      <c r="Q1970" s="24"/>
    </row>
    <row r="1971" spans="15:17" x14ac:dyDescent="0.3">
      <c r="O1971" s="24"/>
      <c r="P1971" s="24"/>
      <c r="Q1971" s="24"/>
    </row>
    <row r="1972" spans="15:17" x14ac:dyDescent="0.3">
      <c r="O1972" s="24"/>
      <c r="P1972" s="24"/>
      <c r="Q1972" s="24"/>
    </row>
    <row r="1973" spans="15:17" x14ac:dyDescent="0.3">
      <c r="O1973" s="24"/>
      <c r="P1973" s="24"/>
      <c r="Q1973" s="24"/>
    </row>
    <row r="1974" spans="15:17" x14ac:dyDescent="0.3">
      <c r="O1974" s="24"/>
      <c r="P1974" s="24"/>
      <c r="Q1974" s="24"/>
    </row>
    <row r="1975" spans="15:17" x14ac:dyDescent="0.3">
      <c r="O1975" s="24"/>
      <c r="P1975" s="24"/>
      <c r="Q1975" s="24"/>
    </row>
    <row r="1976" spans="15:17" x14ac:dyDescent="0.3">
      <c r="O1976" s="24"/>
      <c r="P1976" s="24"/>
      <c r="Q1976" s="24"/>
    </row>
    <row r="1977" spans="15:17" x14ac:dyDescent="0.3">
      <c r="O1977" s="24"/>
      <c r="P1977" s="24"/>
      <c r="Q1977" s="24"/>
    </row>
    <row r="1978" spans="15:17" x14ac:dyDescent="0.3">
      <c r="O1978" s="24"/>
      <c r="P1978" s="24"/>
      <c r="Q1978" s="24"/>
    </row>
    <row r="1979" spans="15:17" x14ac:dyDescent="0.3">
      <c r="O1979" s="24"/>
      <c r="P1979" s="24"/>
      <c r="Q1979" s="24"/>
    </row>
    <row r="1980" spans="15:17" x14ac:dyDescent="0.3">
      <c r="O1980" s="24"/>
      <c r="P1980" s="24"/>
      <c r="Q1980" s="24"/>
    </row>
    <row r="1981" spans="15:17" x14ac:dyDescent="0.3">
      <c r="O1981" s="24"/>
      <c r="P1981" s="24"/>
      <c r="Q1981" s="24"/>
    </row>
    <row r="1982" spans="15:17" x14ac:dyDescent="0.3">
      <c r="O1982" s="24"/>
      <c r="P1982" s="24"/>
      <c r="Q1982" s="24"/>
    </row>
    <row r="1983" spans="15:17" x14ac:dyDescent="0.3">
      <c r="O1983" s="24"/>
      <c r="P1983" s="24"/>
      <c r="Q1983" s="24"/>
    </row>
    <row r="1984" spans="15:17" x14ac:dyDescent="0.3">
      <c r="O1984" s="24"/>
      <c r="P1984" s="24"/>
      <c r="Q1984" s="24"/>
    </row>
    <row r="1985" spans="15:17" x14ac:dyDescent="0.3">
      <c r="O1985" s="24"/>
      <c r="P1985" s="24"/>
      <c r="Q1985" s="24"/>
    </row>
    <row r="1986" spans="15:17" x14ac:dyDescent="0.3">
      <c r="O1986" s="24"/>
      <c r="P1986" s="24"/>
      <c r="Q1986" s="24"/>
    </row>
    <row r="1987" spans="15:17" x14ac:dyDescent="0.3">
      <c r="O1987" s="24"/>
      <c r="P1987" s="24"/>
      <c r="Q1987" s="24"/>
    </row>
    <row r="1988" spans="15:17" x14ac:dyDescent="0.3">
      <c r="O1988" s="24"/>
      <c r="P1988" s="24"/>
      <c r="Q1988" s="24"/>
    </row>
    <row r="1989" spans="15:17" x14ac:dyDescent="0.3">
      <c r="O1989" s="24"/>
      <c r="P1989" s="24"/>
      <c r="Q1989" s="24"/>
    </row>
    <row r="1990" spans="15:17" x14ac:dyDescent="0.3">
      <c r="O1990" s="24"/>
      <c r="P1990" s="24"/>
      <c r="Q1990" s="24"/>
    </row>
    <row r="1991" spans="15:17" x14ac:dyDescent="0.3">
      <c r="O1991" s="24"/>
      <c r="P1991" s="24"/>
      <c r="Q1991" s="24"/>
    </row>
    <row r="1992" spans="15:17" x14ac:dyDescent="0.3">
      <c r="O1992" s="24"/>
      <c r="P1992" s="24"/>
      <c r="Q1992" s="24"/>
    </row>
    <row r="1993" spans="15:17" x14ac:dyDescent="0.3">
      <c r="O1993" s="24"/>
      <c r="P1993" s="24"/>
      <c r="Q1993" s="24"/>
    </row>
    <row r="1994" spans="15:17" x14ac:dyDescent="0.3">
      <c r="O1994" s="24"/>
      <c r="P1994" s="24"/>
      <c r="Q1994" s="24"/>
    </row>
    <row r="1995" spans="15:17" x14ac:dyDescent="0.3">
      <c r="O1995" s="24"/>
      <c r="P1995" s="24"/>
      <c r="Q1995" s="24"/>
    </row>
    <row r="1996" spans="15:17" x14ac:dyDescent="0.3">
      <c r="O1996" s="24"/>
      <c r="P1996" s="24"/>
      <c r="Q1996" s="24"/>
    </row>
    <row r="1997" spans="15:17" x14ac:dyDescent="0.3">
      <c r="O1997" s="24"/>
      <c r="P1997" s="24"/>
      <c r="Q1997" s="24"/>
    </row>
    <row r="1998" spans="15:17" x14ac:dyDescent="0.3">
      <c r="O1998" s="24"/>
      <c r="P1998" s="24"/>
      <c r="Q1998" s="24"/>
    </row>
    <row r="1999" spans="15:17" x14ac:dyDescent="0.3">
      <c r="O1999" s="24"/>
      <c r="P1999" s="24"/>
      <c r="Q1999" s="24"/>
    </row>
    <row r="2000" spans="15:17" x14ac:dyDescent="0.3">
      <c r="O2000" s="24"/>
      <c r="P2000" s="24"/>
      <c r="Q2000" s="24"/>
    </row>
    <row r="2001" spans="15:17" x14ac:dyDescent="0.3">
      <c r="O2001" s="24"/>
      <c r="P2001" s="24"/>
      <c r="Q2001" s="24"/>
    </row>
    <row r="2002" spans="15:17" x14ac:dyDescent="0.3">
      <c r="O2002" s="24"/>
      <c r="P2002" s="24"/>
      <c r="Q2002" s="24"/>
    </row>
    <row r="2003" spans="15:17" x14ac:dyDescent="0.3">
      <c r="O2003" s="24"/>
      <c r="P2003" s="24"/>
      <c r="Q2003" s="24"/>
    </row>
    <row r="2004" spans="15:17" x14ac:dyDescent="0.3">
      <c r="O2004" s="24"/>
      <c r="P2004" s="24"/>
      <c r="Q2004" s="24"/>
    </row>
    <row r="2005" spans="15:17" x14ac:dyDescent="0.3">
      <c r="O2005" s="24"/>
      <c r="P2005" s="24"/>
      <c r="Q2005" s="24"/>
    </row>
    <row r="2006" spans="15:17" x14ac:dyDescent="0.3">
      <c r="O2006" s="24"/>
      <c r="P2006" s="24"/>
      <c r="Q2006" s="24"/>
    </row>
    <row r="2007" spans="15:17" x14ac:dyDescent="0.3">
      <c r="O2007" s="24"/>
      <c r="P2007" s="24"/>
      <c r="Q2007" s="24"/>
    </row>
    <row r="2008" spans="15:17" x14ac:dyDescent="0.3">
      <c r="O2008" s="24"/>
      <c r="P2008" s="24"/>
      <c r="Q2008" s="24"/>
    </row>
    <row r="2009" spans="15:17" x14ac:dyDescent="0.3">
      <c r="O2009" s="24"/>
      <c r="P2009" s="24"/>
      <c r="Q2009" s="24"/>
    </row>
    <row r="2010" spans="15:17" x14ac:dyDescent="0.3">
      <c r="O2010" s="24"/>
      <c r="P2010" s="24"/>
      <c r="Q2010" s="24"/>
    </row>
    <row r="2011" spans="15:17" x14ac:dyDescent="0.3">
      <c r="O2011" s="24"/>
      <c r="P2011" s="24"/>
      <c r="Q2011" s="24"/>
    </row>
    <row r="2012" spans="15:17" x14ac:dyDescent="0.3">
      <c r="O2012" s="24"/>
      <c r="P2012" s="24"/>
      <c r="Q2012" s="24"/>
    </row>
    <row r="2013" spans="15:17" x14ac:dyDescent="0.3">
      <c r="O2013" s="24"/>
      <c r="P2013" s="24"/>
      <c r="Q2013" s="24"/>
    </row>
    <row r="2014" spans="15:17" x14ac:dyDescent="0.3">
      <c r="O2014" s="24"/>
      <c r="P2014" s="24"/>
      <c r="Q2014" s="24"/>
    </row>
    <row r="2015" spans="15:17" x14ac:dyDescent="0.3">
      <c r="O2015" s="24"/>
      <c r="P2015" s="24"/>
      <c r="Q2015" s="24"/>
    </row>
    <row r="2016" spans="15:17" x14ac:dyDescent="0.3">
      <c r="O2016" s="24"/>
      <c r="P2016" s="24"/>
      <c r="Q2016" s="24"/>
    </row>
    <row r="2017" spans="15:17" x14ac:dyDescent="0.3">
      <c r="O2017" s="24"/>
      <c r="P2017" s="24"/>
      <c r="Q2017" s="24"/>
    </row>
    <row r="2018" spans="15:17" x14ac:dyDescent="0.3">
      <c r="O2018" s="24"/>
      <c r="P2018" s="24"/>
      <c r="Q2018" s="24"/>
    </row>
    <row r="2019" spans="15:17" x14ac:dyDescent="0.3">
      <c r="O2019" s="24"/>
      <c r="P2019" s="24"/>
      <c r="Q2019" s="24"/>
    </row>
    <row r="2020" spans="15:17" x14ac:dyDescent="0.3">
      <c r="O2020" s="24"/>
      <c r="P2020" s="24"/>
      <c r="Q2020" s="24"/>
    </row>
    <row r="2021" spans="15:17" x14ac:dyDescent="0.3">
      <c r="O2021" s="24"/>
      <c r="P2021" s="24"/>
      <c r="Q2021" s="24"/>
    </row>
    <row r="2022" spans="15:17" x14ac:dyDescent="0.3">
      <c r="O2022" s="24"/>
      <c r="P2022" s="24"/>
      <c r="Q2022" s="24"/>
    </row>
    <row r="2023" spans="15:17" x14ac:dyDescent="0.3">
      <c r="O2023" s="24"/>
      <c r="P2023" s="24"/>
      <c r="Q2023" s="24"/>
    </row>
    <row r="2024" spans="15:17" x14ac:dyDescent="0.3">
      <c r="O2024" s="24"/>
      <c r="P2024" s="24"/>
      <c r="Q2024" s="24"/>
    </row>
    <row r="2025" spans="15:17" x14ac:dyDescent="0.3">
      <c r="O2025" s="24"/>
      <c r="P2025" s="24"/>
      <c r="Q2025" s="24"/>
    </row>
    <row r="2026" spans="15:17" x14ac:dyDescent="0.3">
      <c r="O2026" s="24"/>
      <c r="P2026" s="24"/>
      <c r="Q2026" s="24"/>
    </row>
    <row r="2027" spans="15:17" x14ac:dyDescent="0.3">
      <c r="O2027" s="24"/>
      <c r="P2027" s="24"/>
      <c r="Q2027" s="24"/>
    </row>
    <row r="2028" spans="15:17" x14ac:dyDescent="0.3">
      <c r="O2028" s="24"/>
      <c r="P2028" s="24"/>
      <c r="Q2028" s="24"/>
    </row>
    <row r="2029" spans="15:17" x14ac:dyDescent="0.3">
      <c r="O2029" s="24"/>
      <c r="P2029" s="24"/>
      <c r="Q2029" s="24"/>
    </row>
    <row r="2030" spans="15:17" x14ac:dyDescent="0.3">
      <c r="O2030" s="24"/>
      <c r="P2030" s="24"/>
      <c r="Q2030" s="24"/>
    </row>
    <row r="2031" spans="15:17" x14ac:dyDescent="0.3">
      <c r="O2031" s="24"/>
      <c r="P2031" s="24"/>
      <c r="Q2031" s="24"/>
    </row>
    <row r="2032" spans="15:17" x14ac:dyDescent="0.3">
      <c r="O2032" s="24"/>
      <c r="P2032" s="24"/>
      <c r="Q2032" s="24"/>
    </row>
    <row r="2033" spans="15:17" x14ac:dyDescent="0.3">
      <c r="O2033" s="24"/>
      <c r="P2033" s="24"/>
      <c r="Q2033" s="24"/>
    </row>
    <row r="2034" spans="15:17" x14ac:dyDescent="0.3">
      <c r="O2034" s="24"/>
      <c r="P2034" s="24"/>
      <c r="Q2034" s="24"/>
    </row>
    <row r="2035" spans="15:17" x14ac:dyDescent="0.3">
      <c r="O2035" s="24"/>
      <c r="P2035" s="24"/>
      <c r="Q2035" s="24"/>
    </row>
    <row r="2036" spans="15:17" x14ac:dyDescent="0.3">
      <c r="O2036" s="24"/>
      <c r="P2036" s="24"/>
      <c r="Q2036" s="24"/>
    </row>
    <row r="2037" spans="15:17" x14ac:dyDescent="0.3">
      <c r="O2037" s="24"/>
      <c r="P2037" s="24"/>
      <c r="Q2037" s="24"/>
    </row>
    <row r="2038" spans="15:17" x14ac:dyDescent="0.3">
      <c r="O2038" s="24"/>
      <c r="P2038" s="24"/>
      <c r="Q2038" s="24"/>
    </row>
    <row r="2039" spans="15:17" x14ac:dyDescent="0.3">
      <c r="O2039" s="24"/>
      <c r="P2039" s="24"/>
      <c r="Q2039" s="24"/>
    </row>
    <row r="2040" spans="15:17" x14ac:dyDescent="0.3">
      <c r="O2040" s="24"/>
      <c r="P2040" s="24"/>
      <c r="Q2040" s="24"/>
    </row>
    <row r="2041" spans="15:17" x14ac:dyDescent="0.3">
      <c r="O2041" s="24"/>
      <c r="P2041" s="24"/>
      <c r="Q2041" s="24"/>
    </row>
    <row r="2042" spans="15:17" x14ac:dyDescent="0.3">
      <c r="O2042" s="24"/>
      <c r="P2042" s="24"/>
      <c r="Q2042" s="24"/>
    </row>
    <row r="2043" spans="15:17" x14ac:dyDescent="0.3">
      <c r="O2043" s="24"/>
      <c r="P2043" s="24"/>
      <c r="Q2043" s="24"/>
    </row>
    <row r="2044" spans="15:17" x14ac:dyDescent="0.3">
      <c r="O2044" s="24"/>
      <c r="P2044" s="24"/>
      <c r="Q2044" s="24"/>
    </row>
    <row r="2045" spans="15:17" x14ac:dyDescent="0.3">
      <c r="O2045" s="24"/>
      <c r="P2045" s="24"/>
      <c r="Q2045" s="24"/>
    </row>
    <row r="2046" spans="15:17" x14ac:dyDescent="0.3">
      <c r="O2046" s="24"/>
      <c r="P2046" s="24"/>
      <c r="Q2046" s="24"/>
    </row>
    <row r="2047" spans="15:17" x14ac:dyDescent="0.3">
      <c r="O2047" s="24"/>
      <c r="P2047" s="24"/>
      <c r="Q2047" s="24"/>
    </row>
    <row r="2048" spans="15:17" x14ac:dyDescent="0.3">
      <c r="O2048" s="24"/>
      <c r="P2048" s="24"/>
      <c r="Q2048" s="24"/>
    </row>
    <row r="2049" spans="15:17" x14ac:dyDescent="0.3">
      <c r="O2049" s="24"/>
      <c r="P2049" s="24"/>
      <c r="Q2049" s="24"/>
    </row>
    <row r="2050" spans="15:17" x14ac:dyDescent="0.3">
      <c r="O2050" s="24"/>
      <c r="P2050" s="24"/>
      <c r="Q2050" s="24"/>
    </row>
    <row r="2051" spans="15:17" x14ac:dyDescent="0.3">
      <c r="O2051" s="24"/>
      <c r="P2051" s="24"/>
      <c r="Q2051" s="24"/>
    </row>
    <row r="2052" spans="15:17" x14ac:dyDescent="0.3">
      <c r="O2052" s="24"/>
      <c r="P2052" s="24"/>
      <c r="Q2052" s="24"/>
    </row>
    <row r="2053" spans="15:17" x14ac:dyDescent="0.3">
      <c r="O2053" s="24"/>
      <c r="P2053" s="24"/>
      <c r="Q2053" s="24"/>
    </row>
    <row r="2054" spans="15:17" x14ac:dyDescent="0.3">
      <c r="O2054" s="24"/>
      <c r="P2054" s="24"/>
      <c r="Q2054" s="24"/>
    </row>
    <row r="2055" spans="15:17" x14ac:dyDescent="0.3">
      <c r="O2055" s="24"/>
      <c r="P2055" s="24"/>
      <c r="Q2055" s="24"/>
    </row>
    <row r="2056" spans="15:17" x14ac:dyDescent="0.3">
      <c r="O2056" s="24"/>
      <c r="P2056" s="24"/>
      <c r="Q2056" s="24"/>
    </row>
    <row r="2057" spans="15:17" x14ac:dyDescent="0.3">
      <c r="O2057" s="24"/>
      <c r="P2057" s="24"/>
      <c r="Q2057" s="24"/>
    </row>
    <row r="2058" spans="15:17" x14ac:dyDescent="0.3">
      <c r="O2058" s="24"/>
      <c r="P2058" s="24"/>
      <c r="Q2058" s="24"/>
    </row>
    <row r="2059" spans="15:17" x14ac:dyDescent="0.3">
      <c r="O2059" s="24"/>
      <c r="P2059" s="24"/>
      <c r="Q2059" s="24"/>
    </row>
    <row r="2060" spans="15:17" x14ac:dyDescent="0.3">
      <c r="O2060" s="24"/>
      <c r="P2060" s="24"/>
      <c r="Q2060" s="24"/>
    </row>
    <row r="2061" spans="15:17" x14ac:dyDescent="0.3">
      <c r="O2061" s="24"/>
      <c r="P2061" s="24"/>
      <c r="Q2061" s="24"/>
    </row>
    <row r="2062" spans="15:17" x14ac:dyDescent="0.3">
      <c r="O2062" s="24"/>
      <c r="P2062" s="24"/>
      <c r="Q2062" s="24"/>
    </row>
    <row r="2063" spans="15:17" x14ac:dyDescent="0.3">
      <c r="O2063" s="24"/>
      <c r="P2063" s="24"/>
      <c r="Q2063" s="24"/>
    </row>
    <row r="2064" spans="15:17" x14ac:dyDescent="0.3">
      <c r="O2064" s="24"/>
      <c r="P2064" s="24"/>
      <c r="Q2064" s="24"/>
    </row>
    <row r="2065" spans="15:17" x14ac:dyDescent="0.3">
      <c r="O2065" s="24"/>
      <c r="P2065" s="24"/>
      <c r="Q2065" s="24"/>
    </row>
    <row r="2066" spans="15:17" x14ac:dyDescent="0.3">
      <c r="P2066" s="24"/>
      <c r="Q2066" s="24"/>
    </row>
    <row r="2067" spans="15:17" x14ac:dyDescent="0.3">
      <c r="P2067" s="24"/>
      <c r="Q2067" s="24"/>
    </row>
  </sheetData>
  <mergeCells count="11">
    <mergeCell ref="B40:F40"/>
    <mergeCell ref="A1:F1"/>
    <mergeCell ref="B36:F36"/>
    <mergeCell ref="B37:F37"/>
    <mergeCell ref="B38:F38"/>
    <mergeCell ref="B39:F39"/>
    <mergeCell ref="B6:F6"/>
    <mergeCell ref="B34:F34"/>
    <mergeCell ref="B35:F35"/>
    <mergeCell ref="B33:C33"/>
    <mergeCell ref="B31:C3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8E99-7B90-4EE0-ABF2-397968CCA3E1}">
  <dimension ref="A1:K25"/>
  <sheetViews>
    <sheetView tabSelected="1" topLeftCell="B4" workbookViewId="0">
      <selection activeCell="N14" sqref="N14"/>
    </sheetView>
  </sheetViews>
  <sheetFormatPr baseColWidth="10" defaultColWidth="8.88671875" defaultRowHeight="14.4" x14ac:dyDescent="0.3"/>
  <cols>
    <col min="10" max="10" width="8.77734375" customWidth="1"/>
  </cols>
  <sheetData>
    <row r="1" spans="1:11" ht="30" customHeight="1" x14ac:dyDescent="0.3">
      <c r="A1" s="58" t="s">
        <v>58</v>
      </c>
      <c r="B1" s="59"/>
      <c r="C1" s="59"/>
      <c r="D1" s="59"/>
      <c r="E1" s="59"/>
      <c r="F1" s="59"/>
      <c r="G1" s="59"/>
      <c r="H1" s="59"/>
      <c r="I1" s="59"/>
      <c r="J1" s="59"/>
      <c r="K1" s="29"/>
    </row>
    <row r="2" spans="1:11" ht="15.6" x14ac:dyDescent="0.3">
      <c r="A2" s="30" t="s">
        <v>64</v>
      </c>
      <c r="B2" s="60" t="s">
        <v>59</v>
      </c>
      <c r="C2" s="61"/>
      <c r="D2" s="61"/>
      <c r="E2" s="61"/>
      <c r="F2" s="61"/>
      <c r="G2" s="61"/>
      <c r="H2" s="61"/>
      <c r="I2" s="61"/>
      <c r="J2" s="62"/>
      <c r="K2" s="33"/>
    </row>
    <row r="3" spans="1:11" ht="15.6" x14ac:dyDescent="0.3">
      <c r="A3" s="32"/>
      <c r="B3" s="35"/>
      <c r="C3" s="63"/>
      <c r="D3" s="63"/>
      <c r="E3" s="63"/>
      <c r="F3" s="63"/>
      <c r="G3" s="63"/>
      <c r="H3" s="63"/>
      <c r="I3" s="63"/>
      <c r="J3" s="36"/>
      <c r="K3" s="33"/>
    </row>
    <row r="4" spans="1:11" ht="15.6" x14ac:dyDescent="0.3">
      <c r="A4" s="31"/>
      <c r="B4" s="49" t="s">
        <v>67</v>
      </c>
      <c r="C4" s="50"/>
      <c r="D4" s="50"/>
      <c r="E4" s="50"/>
      <c r="F4" s="50"/>
      <c r="G4" s="50"/>
      <c r="H4" s="50"/>
      <c r="I4" s="50"/>
      <c r="J4" s="51"/>
      <c r="K4" s="33"/>
    </row>
    <row r="5" spans="1:11" ht="15.6" x14ac:dyDescent="0.3">
      <c r="A5" s="32"/>
      <c r="B5" s="35"/>
      <c r="C5" s="63"/>
      <c r="D5" s="63"/>
      <c r="E5" s="63"/>
      <c r="F5" s="63"/>
      <c r="G5" s="63"/>
      <c r="H5" s="63"/>
      <c r="I5" s="63"/>
      <c r="J5" s="36"/>
      <c r="K5" s="33"/>
    </row>
    <row r="6" spans="1:11" ht="15.6" x14ac:dyDescent="0.3">
      <c r="A6" s="32"/>
      <c r="B6" s="35"/>
      <c r="C6" s="63"/>
      <c r="D6" s="63"/>
      <c r="E6" s="63"/>
      <c r="F6" s="63"/>
      <c r="G6" s="63"/>
      <c r="H6" s="63"/>
      <c r="I6" s="63"/>
      <c r="J6" s="36"/>
      <c r="K6" s="33"/>
    </row>
    <row r="7" spans="1:11" ht="15.6" x14ac:dyDescent="0.3">
      <c r="A7" s="30" t="s">
        <v>64</v>
      </c>
      <c r="B7" s="60" t="s">
        <v>60</v>
      </c>
      <c r="C7" s="61"/>
      <c r="D7" s="61"/>
      <c r="E7" s="61"/>
      <c r="F7" s="61"/>
      <c r="G7" s="61"/>
      <c r="H7" s="61"/>
      <c r="I7" s="61"/>
      <c r="J7" s="62"/>
      <c r="K7" s="33"/>
    </row>
    <row r="8" spans="1:11" ht="15.6" x14ac:dyDescent="0.3">
      <c r="A8" s="32"/>
      <c r="B8" s="35"/>
      <c r="C8" s="63"/>
      <c r="D8" s="63"/>
      <c r="E8" s="63"/>
      <c r="F8" s="63"/>
      <c r="G8" s="63"/>
      <c r="H8" s="63"/>
      <c r="I8" s="63"/>
      <c r="J8" s="36"/>
      <c r="K8" s="33"/>
    </row>
    <row r="9" spans="1:11" ht="15.6" x14ac:dyDescent="0.3">
      <c r="A9" s="31"/>
      <c r="B9" s="49" t="s">
        <v>65</v>
      </c>
      <c r="C9" s="50"/>
      <c r="D9" s="50"/>
      <c r="E9" s="50"/>
      <c r="F9" s="50"/>
      <c r="G9" s="50"/>
      <c r="H9" s="50"/>
      <c r="I9" s="50"/>
      <c r="J9" s="51"/>
      <c r="K9" s="33"/>
    </row>
    <row r="10" spans="1:11" ht="15.6" x14ac:dyDescent="0.3">
      <c r="A10" s="32"/>
      <c r="B10" s="35"/>
      <c r="C10" s="63"/>
      <c r="D10" s="63"/>
      <c r="E10" s="63"/>
      <c r="F10" s="63"/>
      <c r="G10" s="63"/>
      <c r="H10" s="63"/>
      <c r="I10" s="63"/>
      <c r="J10" s="36"/>
      <c r="K10" s="33"/>
    </row>
    <row r="11" spans="1:11" ht="15.6" x14ac:dyDescent="0.3">
      <c r="A11" s="30" t="s">
        <v>64</v>
      </c>
      <c r="B11" s="60" t="s">
        <v>61</v>
      </c>
      <c r="C11" s="61"/>
      <c r="D11" s="61"/>
      <c r="E11" s="61"/>
      <c r="F11" s="61"/>
      <c r="G11" s="61"/>
      <c r="H11" s="61"/>
      <c r="I11" s="61"/>
      <c r="J11" s="62"/>
      <c r="K11" s="33"/>
    </row>
    <row r="12" spans="1:11" ht="15.6" x14ac:dyDescent="0.3">
      <c r="A12" s="32"/>
      <c r="B12" s="35"/>
      <c r="C12" s="63"/>
      <c r="D12" s="63"/>
      <c r="E12" s="63"/>
      <c r="F12" s="63"/>
      <c r="G12" s="63"/>
      <c r="H12" s="63"/>
      <c r="I12" s="63"/>
      <c r="J12" s="36"/>
      <c r="K12" s="33"/>
    </row>
    <row r="13" spans="1:11" ht="15.6" x14ac:dyDescent="0.3">
      <c r="A13" s="32"/>
      <c r="B13" s="52" t="s">
        <v>66</v>
      </c>
      <c r="C13" s="53"/>
      <c r="D13" s="53"/>
      <c r="E13" s="53"/>
      <c r="F13" s="53"/>
      <c r="G13" s="53"/>
      <c r="H13" s="53"/>
      <c r="I13" s="53"/>
      <c r="J13" s="54"/>
      <c r="K13" s="33"/>
    </row>
    <row r="14" spans="1:11" ht="15.6" x14ac:dyDescent="0.3">
      <c r="A14" s="32"/>
      <c r="B14" s="35"/>
      <c r="C14" s="33"/>
      <c r="D14" s="33"/>
      <c r="E14" s="33"/>
      <c r="F14" s="33"/>
      <c r="G14" s="33"/>
      <c r="H14" s="33"/>
      <c r="I14" s="33"/>
      <c r="J14" s="36"/>
      <c r="K14" s="33"/>
    </row>
    <row r="15" spans="1:11" ht="31.05" customHeight="1" x14ac:dyDescent="0.3">
      <c r="A15" s="32"/>
      <c r="B15" s="55" t="s">
        <v>70</v>
      </c>
      <c r="C15" s="56"/>
      <c r="D15" s="56"/>
      <c r="E15" s="56"/>
      <c r="F15" s="56"/>
      <c r="G15" s="56"/>
      <c r="H15" s="56"/>
      <c r="I15" s="56"/>
      <c r="J15" s="57"/>
      <c r="K15" s="34"/>
    </row>
    <row r="16" spans="1:11" ht="31.05" customHeight="1" x14ac:dyDescent="0.3">
      <c r="A16" s="32"/>
      <c r="B16" s="64"/>
      <c r="C16" s="65"/>
      <c r="D16" s="65"/>
      <c r="E16" s="65"/>
      <c r="F16" s="65"/>
      <c r="G16" s="65"/>
      <c r="H16" s="65"/>
      <c r="I16" s="65"/>
      <c r="J16" s="66"/>
      <c r="K16" s="34"/>
    </row>
    <row r="17" spans="1:11" ht="15.6" x14ac:dyDescent="0.3">
      <c r="A17" s="27" t="s">
        <v>64</v>
      </c>
      <c r="B17" s="60" t="s">
        <v>62</v>
      </c>
      <c r="C17" s="61"/>
      <c r="D17" s="61"/>
      <c r="E17" s="61"/>
      <c r="F17" s="61"/>
      <c r="G17" s="61"/>
      <c r="H17" s="61"/>
      <c r="I17" s="61"/>
      <c r="J17" s="62"/>
      <c r="K17" s="33"/>
    </row>
    <row r="18" spans="1:11" ht="15.6" x14ac:dyDescent="0.3">
      <c r="A18" s="14"/>
      <c r="B18" s="35"/>
      <c r="C18" s="63"/>
      <c r="D18" s="63"/>
      <c r="E18" s="63"/>
      <c r="F18" s="63"/>
      <c r="G18" s="63"/>
      <c r="H18" s="63"/>
      <c r="I18" s="63"/>
      <c r="J18" s="36"/>
      <c r="K18" s="33"/>
    </row>
    <row r="19" spans="1:11" ht="15.6" x14ac:dyDescent="0.3">
      <c r="A19" s="14"/>
      <c r="B19" s="52" t="s">
        <v>71</v>
      </c>
      <c r="C19" s="53"/>
      <c r="D19" s="53"/>
      <c r="E19" s="53"/>
      <c r="F19" s="53"/>
      <c r="G19" s="53"/>
      <c r="H19" s="53"/>
      <c r="I19" s="53"/>
      <c r="J19" s="54"/>
      <c r="K19" s="33"/>
    </row>
    <row r="20" spans="1:11" ht="15.6" x14ac:dyDescent="0.3">
      <c r="A20" s="14"/>
      <c r="B20" s="35"/>
      <c r="C20" s="33"/>
      <c r="D20" s="33"/>
      <c r="E20" s="33"/>
      <c r="F20" s="33"/>
      <c r="G20" s="33"/>
      <c r="H20" s="33"/>
      <c r="I20" s="33"/>
      <c r="J20" s="36"/>
      <c r="K20" s="33"/>
    </row>
    <row r="21" spans="1:11" ht="15.6" x14ac:dyDescent="0.3">
      <c r="A21" s="14"/>
      <c r="B21" s="52" t="s">
        <v>72</v>
      </c>
      <c r="C21" s="53"/>
      <c r="D21" s="53"/>
      <c r="E21" s="53"/>
      <c r="F21" s="53"/>
      <c r="G21" s="53"/>
      <c r="H21" s="53"/>
      <c r="I21" s="53"/>
      <c r="J21" s="54"/>
      <c r="K21" s="33"/>
    </row>
    <row r="22" spans="1:11" ht="15.6" x14ac:dyDescent="0.3">
      <c r="A22" s="14"/>
      <c r="B22" s="35"/>
      <c r="C22" s="33"/>
      <c r="D22" s="33"/>
      <c r="E22" s="33"/>
      <c r="F22" s="33"/>
      <c r="G22" s="33"/>
      <c r="H22" s="33"/>
      <c r="I22" s="33"/>
      <c r="J22" s="36"/>
      <c r="K22" s="33"/>
    </row>
    <row r="23" spans="1:11" ht="46.5" customHeight="1" x14ac:dyDescent="0.3">
      <c r="A23" s="28"/>
      <c r="B23" s="55" t="s">
        <v>73</v>
      </c>
      <c r="C23" s="56"/>
      <c r="D23" s="56"/>
      <c r="E23" s="56"/>
      <c r="F23" s="56"/>
      <c r="G23" s="56"/>
      <c r="H23" s="56"/>
      <c r="I23" s="56"/>
      <c r="J23" s="57"/>
      <c r="K23" s="34"/>
    </row>
    <row r="24" spans="1:11" ht="46.5" customHeight="1" x14ac:dyDescent="0.3">
      <c r="A24" s="26"/>
      <c r="B24" s="37"/>
      <c r="C24" s="38"/>
      <c r="D24" s="38"/>
      <c r="E24" s="38"/>
      <c r="F24" s="38"/>
      <c r="G24" s="38"/>
      <c r="H24" s="38"/>
      <c r="I24" s="38"/>
      <c r="J24" s="39"/>
      <c r="K24" s="34"/>
    </row>
    <row r="25" spans="1:11" ht="15.6" x14ac:dyDescent="0.3">
      <c r="A25" s="26" t="s">
        <v>64</v>
      </c>
      <c r="B25" s="46" t="s">
        <v>63</v>
      </c>
      <c r="C25" s="47"/>
      <c r="D25" s="47"/>
      <c r="E25" s="47"/>
      <c r="F25" s="47"/>
      <c r="G25" s="47"/>
      <c r="H25" s="47"/>
      <c r="I25" s="47"/>
      <c r="J25" s="48"/>
      <c r="K25" s="33"/>
    </row>
  </sheetData>
  <mergeCells count="13">
    <mergeCell ref="A1:J1"/>
    <mergeCell ref="B2:J2"/>
    <mergeCell ref="B7:J7"/>
    <mergeCell ref="B11:J11"/>
    <mergeCell ref="B17:J17"/>
    <mergeCell ref="B25:J25"/>
    <mergeCell ref="B4:J4"/>
    <mergeCell ref="B9:J9"/>
    <mergeCell ref="B13:J13"/>
    <mergeCell ref="B15:J15"/>
    <mergeCell ref="B19:J19"/>
    <mergeCell ref="B21:J21"/>
    <mergeCell ref="B23:J2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BFA77B-BB4F-46E4-B4E1-C3BD98E3AB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Sheet1</vt:lpstr>
      <vt:lpstr>Sheet2</vt:lpstr>
      <vt:lpstr>Appendix</vt:lpstr>
      <vt:lpstr>Sheet3</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Lekhana CHANDRAN</dc:creator>
  <cp:lastModifiedBy>Yannis Aullen</cp:lastModifiedBy>
  <dcterms:created xsi:type="dcterms:W3CDTF">2015-06-05T18:17:20Z</dcterms:created>
  <dcterms:modified xsi:type="dcterms:W3CDTF">2026-06-11T10:02:33Z</dcterms:modified>
</cp:coreProperties>
</file>